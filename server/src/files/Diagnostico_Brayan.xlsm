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dor\Desktop\Herramientas para la formación y el acompañamiento en creación de empresas\"/>
    </mc:Choice>
  </mc:AlternateContent>
  <bookViews>
    <workbookView xWindow="0" yWindow="0" windowWidth="20490" windowHeight="7050" tabRatio="733" firstSheet="1" activeTab="7"/>
  </bookViews>
  <sheets>
    <sheet name="COMENTARIOS SOBRE LA MATRIZ" sheetId="10" r:id="rId1"/>
    <sheet name="Instrucciones" sheetId="4" r:id="rId2"/>
    <sheet name="1. Etapa" sheetId="2" r:id="rId3"/>
    <sheet name=" Resultado Etapa" sheetId="3" r:id="rId4"/>
    <sheet name="2. Competencias" sheetId="5" r:id="rId5"/>
    <sheet name="Clasificacion" sheetId="6" r:id="rId6"/>
    <sheet name="Lista de Competencias" sheetId="8" r:id="rId7"/>
    <sheet name="Plan de accion" sheetId="9" r:id="rId8"/>
  </sheets>
  <definedNames>
    <definedName name="COMPETENCES_FAIBLES">Clasificacion!$N$5:$N$101</definedName>
    <definedName name="COMPETENCES_FORTES">Clasificacion!$L$5:$L$101</definedName>
    <definedName name="COMPETENCES_MOYENNES">Clasificacion!$M$5:$M$101</definedName>
    <definedName name="V._F">Clasificacion!$J$5:$J$101</definedName>
    <definedName name="V._FB" localSheetId="7">#REF!</definedName>
    <definedName name="V._FB">Clasificacion!$J$5:$J$101</definedName>
    <definedName name="V._FT" localSheetId="7">#REF!</definedName>
    <definedName name="V._FT">Clasificacion!$H$5:$H$101</definedName>
    <definedName name="V._M" localSheetId="7">#REF!</definedName>
    <definedName name="V._M">Clasificacion!$I$5:$I$101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3" i="6" l="1"/>
  <c r="H54" i="6"/>
  <c r="H38" i="6"/>
  <c r="F42" i="2" l="1"/>
  <c r="N29" i="6" l="1"/>
  <c r="N30" i="6"/>
  <c r="N31" i="6"/>
  <c r="N38" i="6"/>
  <c r="N39" i="6"/>
  <c r="N46" i="6"/>
  <c r="N47" i="6"/>
  <c r="N54" i="6"/>
  <c r="N55" i="6"/>
  <c r="N56" i="6"/>
  <c r="N60" i="6"/>
  <c r="N61" i="6"/>
  <c r="N62" i="6"/>
  <c r="N73" i="6"/>
  <c r="N74" i="6"/>
  <c r="N75" i="6"/>
  <c r="N76" i="6"/>
  <c r="N77" i="6"/>
  <c r="N83" i="6"/>
  <c r="N84" i="6"/>
  <c r="N85" i="6"/>
  <c r="N90" i="6"/>
  <c r="N91" i="6"/>
  <c r="N92" i="6"/>
  <c r="M29" i="6"/>
  <c r="M30" i="6"/>
  <c r="M31" i="6"/>
  <c r="M38" i="6"/>
  <c r="M39" i="6"/>
  <c r="M46" i="6"/>
  <c r="M47" i="6"/>
  <c r="M54" i="6"/>
  <c r="M55" i="6"/>
  <c r="M56" i="6"/>
  <c r="M60" i="6"/>
  <c r="M61" i="6"/>
  <c r="M62" i="6"/>
  <c r="M73" i="6"/>
  <c r="M74" i="6"/>
  <c r="M75" i="6"/>
  <c r="M76" i="6"/>
  <c r="M77" i="6"/>
  <c r="M83" i="6"/>
  <c r="M84" i="6"/>
  <c r="M85" i="6"/>
  <c r="M90" i="6"/>
  <c r="M91" i="6"/>
  <c r="M92" i="6"/>
  <c r="L29" i="6"/>
  <c r="L30" i="6"/>
  <c r="L31" i="6"/>
  <c r="L38" i="6"/>
  <c r="L39" i="6"/>
  <c r="L46" i="6"/>
  <c r="L47" i="6"/>
  <c r="L54" i="6"/>
  <c r="L55" i="6"/>
  <c r="L56" i="6"/>
  <c r="L60" i="6"/>
  <c r="L61" i="6"/>
  <c r="L62" i="6"/>
  <c r="L73" i="6"/>
  <c r="L74" i="6"/>
  <c r="L75" i="6"/>
  <c r="L76" i="6"/>
  <c r="L77" i="6"/>
  <c r="L83" i="6"/>
  <c r="L84" i="6"/>
  <c r="L85" i="6"/>
  <c r="L90" i="6"/>
  <c r="L91" i="6"/>
  <c r="L92" i="6"/>
  <c r="I11" i="6" l="1"/>
  <c r="M11" i="6" s="1"/>
  <c r="J11" i="6"/>
  <c r="N11" i="6" s="1"/>
  <c r="I12" i="6"/>
  <c r="M12" i="6" s="1"/>
  <c r="J12" i="6"/>
  <c r="N12" i="6" s="1"/>
  <c r="I13" i="6"/>
  <c r="M13" i="6" s="1"/>
  <c r="J13" i="6"/>
  <c r="N13" i="6" s="1"/>
  <c r="I14" i="6"/>
  <c r="M14" i="6" s="1"/>
  <c r="J14" i="6"/>
  <c r="N14" i="6" s="1"/>
  <c r="I15" i="6"/>
  <c r="M15" i="6" s="1"/>
  <c r="J15" i="6"/>
  <c r="N15" i="6" s="1"/>
  <c r="I16" i="6"/>
  <c r="M16" i="6" s="1"/>
  <c r="J16" i="6"/>
  <c r="N16" i="6" s="1"/>
  <c r="I17" i="6"/>
  <c r="M17" i="6" s="1"/>
  <c r="J17" i="6"/>
  <c r="N17" i="6" s="1"/>
  <c r="I18" i="6"/>
  <c r="M18" i="6" s="1"/>
  <c r="J18" i="6"/>
  <c r="N18" i="6" s="1"/>
  <c r="I19" i="6"/>
  <c r="M19" i="6" s="1"/>
  <c r="J19" i="6"/>
  <c r="N19" i="6" s="1"/>
  <c r="I20" i="6"/>
  <c r="M20" i="6" s="1"/>
  <c r="J20" i="6"/>
  <c r="N20" i="6" s="1"/>
  <c r="I21" i="6"/>
  <c r="M21" i="6" s="1"/>
  <c r="J21" i="6"/>
  <c r="N21" i="6" s="1"/>
  <c r="I22" i="6"/>
  <c r="M22" i="6" s="1"/>
  <c r="J22" i="6"/>
  <c r="N22" i="6" s="1"/>
  <c r="I23" i="6"/>
  <c r="M23" i="6" s="1"/>
  <c r="J23" i="6"/>
  <c r="N23" i="6" s="1"/>
  <c r="I24" i="6"/>
  <c r="M24" i="6" s="1"/>
  <c r="J24" i="6"/>
  <c r="N24" i="6" s="1"/>
  <c r="I25" i="6"/>
  <c r="M25" i="6" s="1"/>
  <c r="J25" i="6"/>
  <c r="N25" i="6" s="1"/>
  <c r="I26" i="6"/>
  <c r="M26" i="6" s="1"/>
  <c r="J26" i="6"/>
  <c r="N26" i="6" s="1"/>
  <c r="I27" i="6"/>
  <c r="M27" i="6" s="1"/>
  <c r="J27" i="6"/>
  <c r="N27" i="6" s="1"/>
  <c r="I28" i="6"/>
  <c r="M28" i="6" s="1"/>
  <c r="J28" i="6"/>
  <c r="N28" i="6" s="1"/>
  <c r="I32" i="6"/>
  <c r="M32" i="6" s="1"/>
  <c r="J32" i="6"/>
  <c r="N32" i="6" s="1"/>
  <c r="I33" i="6"/>
  <c r="M33" i="6" s="1"/>
  <c r="J33" i="6"/>
  <c r="N33" i="6" s="1"/>
  <c r="I34" i="6"/>
  <c r="M34" i="6" s="1"/>
  <c r="J34" i="6"/>
  <c r="N34" i="6" s="1"/>
  <c r="I35" i="6"/>
  <c r="M35" i="6" s="1"/>
  <c r="J35" i="6"/>
  <c r="N35" i="6" s="1"/>
  <c r="I36" i="6"/>
  <c r="M36" i="6" s="1"/>
  <c r="J36" i="6"/>
  <c r="N36" i="6" s="1"/>
  <c r="I37" i="6"/>
  <c r="M37" i="6" s="1"/>
  <c r="J37" i="6"/>
  <c r="N37" i="6" s="1"/>
  <c r="I40" i="6"/>
  <c r="M40" i="6" s="1"/>
  <c r="J40" i="6"/>
  <c r="N40" i="6" s="1"/>
  <c r="I41" i="6"/>
  <c r="M41" i="6" s="1"/>
  <c r="J41" i="6"/>
  <c r="N41" i="6" s="1"/>
  <c r="I42" i="6"/>
  <c r="M42" i="6" s="1"/>
  <c r="J42" i="6"/>
  <c r="N42" i="6" s="1"/>
  <c r="I43" i="6"/>
  <c r="M43" i="6" s="1"/>
  <c r="J43" i="6"/>
  <c r="N43" i="6" s="1"/>
  <c r="I44" i="6"/>
  <c r="M44" i="6" s="1"/>
  <c r="J44" i="6"/>
  <c r="N44" i="6" s="1"/>
  <c r="I45" i="6"/>
  <c r="M45" i="6" s="1"/>
  <c r="J45" i="6"/>
  <c r="N45" i="6" s="1"/>
  <c r="I48" i="6"/>
  <c r="M48" i="6" s="1"/>
  <c r="J48" i="6"/>
  <c r="N48" i="6" s="1"/>
  <c r="I49" i="6"/>
  <c r="M49" i="6" s="1"/>
  <c r="J49" i="6"/>
  <c r="N49" i="6" s="1"/>
  <c r="I50" i="6"/>
  <c r="M50" i="6" s="1"/>
  <c r="J50" i="6"/>
  <c r="N50" i="6" s="1"/>
  <c r="I51" i="6"/>
  <c r="M51" i="6" s="1"/>
  <c r="J51" i="6"/>
  <c r="N51" i="6" s="1"/>
  <c r="I52" i="6"/>
  <c r="M52" i="6" s="1"/>
  <c r="J52" i="6"/>
  <c r="N52" i="6" s="1"/>
  <c r="I53" i="6"/>
  <c r="M53" i="6" s="1"/>
  <c r="J53" i="6"/>
  <c r="N53" i="6" s="1"/>
  <c r="I57" i="6"/>
  <c r="M57" i="6" s="1"/>
  <c r="J57" i="6"/>
  <c r="N57" i="6" s="1"/>
  <c r="I58" i="6"/>
  <c r="M58" i="6" s="1"/>
  <c r="J58" i="6"/>
  <c r="N58" i="6" s="1"/>
  <c r="I59" i="6"/>
  <c r="M59" i="6" s="1"/>
  <c r="J59" i="6"/>
  <c r="N59" i="6" s="1"/>
  <c r="I63" i="6"/>
  <c r="M63" i="6" s="1"/>
  <c r="J63" i="6"/>
  <c r="N63" i="6" s="1"/>
  <c r="I64" i="6"/>
  <c r="M64" i="6" s="1"/>
  <c r="J64" i="6"/>
  <c r="N64" i="6" s="1"/>
  <c r="I65" i="6"/>
  <c r="M65" i="6" s="1"/>
  <c r="J65" i="6"/>
  <c r="N65" i="6" s="1"/>
  <c r="I66" i="6"/>
  <c r="M66" i="6" s="1"/>
  <c r="J66" i="6"/>
  <c r="N66" i="6" s="1"/>
  <c r="I67" i="6"/>
  <c r="M67" i="6" s="1"/>
  <c r="J67" i="6"/>
  <c r="N67" i="6" s="1"/>
  <c r="I68" i="6"/>
  <c r="M68" i="6" s="1"/>
  <c r="J68" i="6"/>
  <c r="N68" i="6" s="1"/>
  <c r="I69" i="6"/>
  <c r="M69" i="6" s="1"/>
  <c r="J69" i="6"/>
  <c r="N69" i="6" s="1"/>
  <c r="I70" i="6"/>
  <c r="M70" i="6" s="1"/>
  <c r="J70" i="6"/>
  <c r="N70" i="6" s="1"/>
  <c r="I71" i="6"/>
  <c r="M71" i="6" s="1"/>
  <c r="J71" i="6"/>
  <c r="N71" i="6" s="1"/>
  <c r="I72" i="6"/>
  <c r="M72" i="6" s="1"/>
  <c r="J72" i="6"/>
  <c r="N72" i="6" s="1"/>
  <c r="I78" i="6"/>
  <c r="M78" i="6" s="1"/>
  <c r="J78" i="6"/>
  <c r="N78" i="6" s="1"/>
  <c r="I79" i="6"/>
  <c r="M79" i="6" s="1"/>
  <c r="J79" i="6"/>
  <c r="N79" i="6" s="1"/>
  <c r="I80" i="6"/>
  <c r="M80" i="6" s="1"/>
  <c r="J80" i="6"/>
  <c r="N80" i="6" s="1"/>
  <c r="I81" i="6"/>
  <c r="M81" i="6" s="1"/>
  <c r="J81" i="6"/>
  <c r="N81" i="6" s="1"/>
  <c r="I82" i="6"/>
  <c r="M82" i="6" s="1"/>
  <c r="J82" i="6"/>
  <c r="N82" i="6" s="1"/>
  <c r="I86" i="6"/>
  <c r="M86" i="6" s="1"/>
  <c r="J86" i="6"/>
  <c r="N86" i="6" s="1"/>
  <c r="I87" i="6"/>
  <c r="M87" i="6" s="1"/>
  <c r="J87" i="6"/>
  <c r="N87" i="6" s="1"/>
  <c r="I88" i="6"/>
  <c r="M88" i="6" s="1"/>
  <c r="J88" i="6"/>
  <c r="N88" i="6" s="1"/>
  <c r="I89" i="6"/>
  <c r="M89" i="6" s="1"/>
  <c r="J89" i="6"/>
  <c r="N89" i="6" s="1"/>
  <c r="I93" i="6"/>
  <c r="M93" i="6" s="1"/>
  <c r="J93" i="6"/>
  <c r="N93" i="6" s="1"/>
  <c r="I94" i="6"/>
  <c r="M94" i="6" s="1"/>
  <c r="J94" i="6"/>
  <c r="N94" i="6" s="1"/>
  <c r="I95" i="6"/>
  <c r="M95" i="6" s="1"/>
  <c r="J95" i="6"/>
  <c r="N95" i="6" s="1"/>
  <c r="I96" i="6"/>
  <c r="M96" i="6" s="1"/>
  <c r="J96" i="6"/>
  <c r="N96" i="6" s="1"/>
  <c r="I97" i="6"/>
  <c r="M97" i="6" s="1"/>
  <c r="J97" i="6"/>
  <c r="N97" i="6" s="1"/>
  <c r="I98" i="6"/>
  <c r="M98" i="6" s="1"/>
  <c r="J98" i="6"/>
  <c r="N98" i="6" s="1"/>
  <c r="I99" i="6"/>
  <c r="M99" i="6" s="1"/>
  <c r="J99" i="6"/>
  <c r="N99" i="6" s="1"/>
  <c r="I100" i="6"/>
  <c r="M100" i="6" s="1"/>
  <c r="J100" i="6"/>
  <c r="N100" i="6" s="1"/>
  <c r="I101" i="6"/>
  <c r="M101" i="6" s="1"/>
  <c r="J101" i="6"/>
  <c r="N101" i="6" s="1"/>
  <c r="H6" i="6"/>
  <c r="L6" i="6" s="1"/>
  <c r="I6" i="6"/>
  <c r="M6" i="6" s="1"/>
  <c r="J6" i="6"/>
  <c r="N6" i="6" s="1"/>
  <c r="H7" i="6"/>
  <c r="L7" i="6" s="1"/>
  <c r="I7" i="6"/>
  <c r="M7" i="6" s="1"/>
  <c r="J7" i="6"/>
  <c r="N7" i="6" s="1"/>
  <c r="H8" i="6"/>
  <c r="L8" i="6" s="1"/>
  <c r="I8" i="6"/>
  <c r="M8" i="6" s="1"/>
  <c r="J8" i="6"/>
  <c r="N8" i="6" s="1"/>
  <c r="H9" i="6"/>
  <c r="L9" i="6" s="1"/>
  <c r="I9" i="6"/>
  <c r="M9" i="6" s="1"/>
  <c r="J9" i="6"/>
  <c r="N9" i="6" s="1"/>
  <c r="H10" i="6"/>
  <c r="L10" i="6" s="1"/>
  <c r="I10" i="6"/>
  <c r="M10" i="6" s="1"/>
  <c r="J10" i="6"/>
  <c r="N10" i="6" s="1"/>
  <c r="I5" i="6"/>
  <c r="J5" i="6"/>
  <c r="H5" i="6"/>
  <c r="H28" i="6"/>
  <c r="L28" i="6" s="1"/>
  <c r="H32" i="6"/>
  <c r="L32" i="6" s="1"/>
  <c r="H33" i="6"/>
  <c r="L33" i="6" s="1"/>
  <c r="H34" i="6"/>
  <c r="L34" i="6" s="1"/>
  <c r="H35" i="6"/>
  <c r="L35" i="6" s="1"/>
  <c r="H36" i="6"/>
  <c r="L36" i="6" s="1"/>
  <c r="H37" i="6"/>
  <c r="L37" i="6" s="1"/>
  <c r="H40" i="6"/>
  <c r="L40" i="6" s="1"/>
  <c r="H41" i="6"/>
  <c r="L41" i="6" s="1"/>
  <c r="H42" i="6"/>
  <c r="L42" i="6" s="1"/>
  <c r="H43" i="6"/>
  <c r="L43" i="6" s="1"/>
  <c r="H44" i="6"/>
  <c r="L44" i="6" s="1"/>
  <c r="H45" i="6"/>
  <c r="L45" i="6" s="1"/>
  <c r="H48" i="6"/>
  <c r="L48" i="6" s="1"/>
  <c r="H49" i="6"/>
  <c r="L49" i="6" s="1"/>
  <c r="H50" i="6"/>
  <c r="L50" i="6" s="1"/>
  <c r="H51" i="6"/>
  <c r="L51" i="6" s="1"/>
  <c r="H52" i="6"/>
  <c r="L52" i="6" s="1"/>
  <c r="H53" i="6"/>
  <c r="L53" i="6" s="1"/>
  <c r="H57" i="6"/>
  <c r="L57" i="6" s="1"/>
  <c r="H58" i="6"/>
  <c r="L58" i="6" s="1"/>
  <c r="H59" i="6"/>
  <c r="L59" i="6" s="1"/>
  <c r="H63" i="6"/>
  <c r="L63" i="6" s="1"/>
  <c r="H64" i="6"/>
  <c r="L64" i="6" s="1"/>
  <c r="H65" i="6"/>
  <c r="L65" i="6" s="1"/>
  <c r="H66" i="6"/>
  <c r="L66" i="6" s="1"/>
  <c r="H67" i="6"/>
  <c r="L67" i="6" s="1"/>
  <c r="H68" i="6"/>
  <c r="L68" i="6" s="1"/>
  <c r="H69" i="6"/>
  <c r="L69" i="6" s="1"/>
  <c r="H70" i="6"/>
  <c r="L70" i="6" s="1"/>
  <c r="H71" i="6"/>
  <c r="L71" i="6" s="1"/>
  <c r="H72" i="6"/>
  <c r="L72" i="6" s="1"/>
  <c r="H78" i="6"/>
  <c r="L78" i="6" s="1"/>
  <c r="H79" i="6"/>
  <c r="L79" i="6" s="1"/>
  <c r="H80" i="6"/>
  <c r="L80" i="6" s="1"/>
  <c r="H81" i="6"/>
  <c r="L81" i="6" s="1"/>
  <c r="H82" i="6"/>
  <c r="L82" i="6" s="1"/>
  <c r="H86" i="6"/>
  <c r="L86" i="6" s="1"/>
  <c r="H87" i="6"/>
  <c r="L87" i="6" s="1"/>
  <c r="H88" i="6"/>
  <c r="L88" i="6" s="1"/>
  <c r="H89" i="6"/>
  <c r="L89" i="6" s="1"/>
  <c r="H93" i="6"/>
  <c r="L93" i="6" s="1"/>
  <c r="H94" i="6"/>
  <c r="L94" i="6" s="1"/>
  <c r="H95" i="6"/>
  <c r="L95" i="6" s="1"/>
  <c r="H96" i="6"/>
  <c r="L96" i="6" s="1"/>
  <c r="H97" i="6"/>
  <c r="L97" i="6" s="1"/>
  <c r="H98" i="6"/>
  <c r="L98" i="6" s="1"/>
  <c r="H99" i="6"/>
  <c r="L99" i="6" s="1"/>
  <c r="H100" i="6"/>
  <c r="L100" i="6" s="1"/>
  <c r="H101" i="6"/>
  <c r="L101" i="6" s="1"/>
  <c r="H11" i="6"/>
  <c r="L11" i="6" s="1"/>
  <c r="H12" i="6"/>
  <c r="L12" i="6" s="1"/>
  <c r="H13" i="6"/>
  <c r="L13" i="6" s="1"/>
  <c r="H14" i="6"/>
  <c r="L14" i="6" s="1"/>
  <c r="H15" i="6"/>
  <c r="L15" i="6" s="1"/>
  <c r="H16" i="6"/>
  <c r="L16" i="6" s="1"/>
  <c r="H17" i="6"/>
  <c r="L17" i="6" s="1"/>
  <c r="H18" i="6"/>
  <c r="L18" i="6" s="1"/>
  <c r="H19" i="6"/>
  <c r="L19" i="6" s="1"/>
  <c r="H20" i="6"/>
  <c r="L20" i="6" s="1"/>
  <c r="H21" i="6"/>
  <c r="L21" i="6" s="1"/>
  <c r="H22" i="6"/>
  <c r="L22" i="6" s="1"/>
  <c r="H23" i="6"/>
  <c r="L23" i="6" s="1"/>
  <c r="H24" i="6"/>
  <c r="L24" i="6" s="1"/>
  <c r="H25" i="6"/>
  <c r="L25" i="6" s="1"/>
  <c r="H26" i="6"/>
  <c r="L26" i="6" s="1"/>
  <c r="H27" i="6"/>
  <c r="L27" i="6" s="1"/>
  <c r="J38" i="2"/>
  <c r="M5" i="6" l="1"/>
  <c r="I3" i="6"/>
  <c r="F2" i="8" s="1"/>
  <c r="E7" i="8" s="1" a="1"/>
  <c r="L5" i="6"/>
  <c r="B3" i="6" s="1"/>
  <c r="H3" i="6"/>
  <c r="N5" i="6"/>
  <c r="J3" i="6"/>
  <c r="I2" i="8" s="1"/>
  <c r="I44" i="2"/>
  <c r="K49" i="2"/>
  <c r="K53" i="2"/>
  <c r="K52" i="2"/>
  <c r="K51" i="2"/>
  <c r="K50" i="2"/>
  <c r="H6" i="8" a="1"/>
  <c r="C2" i="8" l="1"/>
  <c r="K3" i="6"/>
  <c r="B103" i="6" s="1"/>
  <c r="E7" i="8"/>
  <c r="H6" i="8"/>
  <c r="E42" i="8" a="1"/>
  <c r="E42" i="8" s="1"/>
  <c r="E46" i="8" a="1"/>
  <c r="E46" i="8" s="1"/>
  <c r="E50" i="8" a="1"/>
  <c r="E50" i="8" s="1"/>
  <c r="E54" i="8" a="1"/>
  <c r="E54" i="8" s="1"/>
  <c r="E61" i="8" a="1"/>
  <c r="E61" i="8" s="1"/>
  <c r="E65" i="8" a="1"/>
  <c r="E65" i="8" s="1"/>
  <c r="E69" i="8" a="1"/>
  <c r="E69" i="8" s="1"/>
  <c r="E73" i="8" a="1"/>
  <c r="E73" i="8" s="1"/>
  <c r="E77" i="8" a="1"/>
  <c r="E77" i="8" s="1"/>
  <c r="E81" i="8" a="1"/>
  <c r="E81" i="8" s="1"/>
  <c r="E85" i="8" a="1"/>
  <c r="E85" i="8" s="1"/>
  <c r="E89" i="8" a="1"/>
  <c r="E89" i="8" s="1"/>
  <c r="E93" i="8" a="1"/>
  <c r="E93" i="8" s="1"/>
  <c r="E97" i="8" a="1"/>
  <c r="E97" i="8" s="1"/>
  <c r="E101" i="8" a="1"/>
  <c r="E101" i="8" s="1"/>
  <c r="E105" i="8" a="1"/>
  <c r="E105" i="8" s="1"/>
  <c r="E45" i="8" a="1"/>
  <c r="E45" i="8" s="1"/>
  <c r="E57" i="8" a="1"/>
  <c r="E57" i="8" s="1"/>
  <c r="E64" i="8" a="1"/>
  <c r="E64" i="8" s="1"/>
  <c r="E72" i="8" a="1"/>
  <c r="E72" i="8" s="1"/>
  <c r="E80" i="8" a="1"/>
  <c r="E80" i="8" s="1"/>
  <c r="E43" i="8" a="1"/>
  <c r="E43" i="8" s="1"/>
  <c r="E47" i="8" a="1"/>
  <c r="E47" i="8" s="1"/>
  <c r="E51" i="8" a="1"/>
  <c r="E51" i="8" s="1"/>
  <c r="E55" i="8" a="1"/>
  <c r="E55" i="8" s="1"/>
  <c r="E58" i="8" a="1"/>
  <c r="E58" i="8" s="1"/>
  <c r="E62" i="8" a="1"/>
  <c r="E62" i="8" s="1"/>
  <c r="E66" i="8" a="1"/>
  <c r="E66" i="8" s="1"/>
  <c r="E70" i="8" a="1"/>
  <c r="E70" i="8" s="1"/>
  <c r="E74" i="8" a="1"/>
  <c r="E74" i="8" s="1"/>
  <c r="E78" i="8" a="1"/>
  <c r="E78" i="8" s="1"/>
  <c r="E82" i="8" a="1"/>
  <c r="E82" i="8" s="1"/>
  <c r="E86" i="8" a="1"/>
  <c r="E86" i="8" s="1"/>
  <c r="E90" i="8" a="1"/>
  <c r="E90" i="8" s="1"/>
  <c r="E94" i="8" a="1"/>
  <c r="E94" i="8" s="1"/>
  <c r="E98" i="8" a="1"/>
  <c r="E98" i="8" s="1"/>
  <c r="E102" i="8" a="1"/>
  <c r="E102" i="8" s="1"/>
  <c r="E49" i="8" a="1"/>
  <c r="E49" i="8" s="1"/>
  <c r="E41" i="8" a="1"/>
  <c r="E41" i="8" s="1"/>
  <c r="E44" i="8" a="1"/>
  <c r="E44" i="8" s="1"/>
  <c r="E48" i="8" a="1"/>
  <c r="E48" i="8" s="1"/>
  <c r="E52" i="8" a="1"/>
  <c r="E52" i="8" s="1"/>
  <c r="E56" i="8" a="1"/>
  <c r="E56" i="8" s="1"/>
  <c r="E59" i="8" a="1"/>
  <c r="E59" i="8" s="1"/>
  <c r="E63" i="8" a="1"/>
  <c r="E63" i="8" s="1"/>
  <c r="E67" i="8" a="1"/>
  <c r="E67" i="8" s="1"/>
  <c r="E71" i="8" a="1"/>
  <c r="E71" i="8" s="1"/>
  <c r="E75" i="8" a="1"/>
  <c r="E75" i="8" s="1"/>
  <c r="E79" i="8" a="1"/>
  <c r="E79" i="8" s="1"/>
  <c r="E83" i="8" a="1"/>
  <c r="E83" i="8" s="1"/>
  <c r="E87" i="8" a="1"/>
  <c r="E87" i="8" s="1"/>
  <c r="E91" i="8" a="1"/>
  <c r="E91" i="8" s="1"/>
  <c r="E95" i="8" a="1"/>
  <c r="E95" i="8" s="1"/>
  <c r="E99" i="8" a="1"/>
  <c r="E99" i="8" s="1"/>
  <c r="E103" i="8" a="1"/>
  <c r="E103" i="8" s="1"/>
  <c r="E53" i="8" a="1"/>
  <c r="E53" i="8" s="1"/>
  <c r="E60" i="8" a="1"/>
  <c r="E60" i="8" s="1"/>
  <c r="E68" i="8" a="1"/>
  <c r="E68" i="8" s="1"/>
  <c r="E76" i="8" a="1"/>
  <c r="E76" i="8" s="1"/>
  <c r="E84" i="8" a="1"/>
  <c r="E84" i="8" s="1"/>
  <c r="E100" i="8" a="1"/>
  <c r="E100" i="8" s="1"/>
  <c r="E88" i="8" a="1"/>
  <c r="E88" i="8" s="1"/>
  <c r="E104" i="8" a="1"/>
  <c r="E104" i="8" s="1"/>
  <c r="E92" i="8" a="1"/>
  <c r="E92" i="8" s="1"/>
  <c r="E96" i="8" a="1"/>
  <c r="E96" i="8" s="1"/>
  <c r="H37" i="8" a="1"/>
  <c r="H37" i="8" s="1"/>
  <c r="H40" i="8" a="1"/>
  <c r="H40" i="8" s="1"/>
  <c r="H43" i="8" a="1"/>
  <c r="H43" i="8" s="1"/>
  <c r="H47" i="8" a="1"/>
  <c r="H47" i="8" s="1"/>
  <c r="H51" i="8" a="1"/>
  <c r="H51" i="8" s="1"/>
  <c r="H55" i="8" a="1"/>
  <c r="H55" i="8" s="1"/>
  <c r="H61" i="8" a="1"/>
  <c r="H61" i="8" s="1"/>
  <c r="H65" i="8" a="1"/>
  <c r="H65" i="8" s="1"/>
  <c r="H69" i="8" a="1"/>
  <c r="H69" i="8" s="1"/>
  <c r="H72" i="8" a="1"/>
  <c r="H72" i="8" s="1"/>
  <c r="H76" i="8" a="1"/>
  <c r="H76" i="8" s="1"/>
  <c r="H80" i="8" a="1"/>
  <c r="H80" i="8" s="1"/>
  <c r="H84" i="8" a="1"/>
  <c r="H84" i="8" s="1"/>
  <c r="H88" i="8" a="1"/>
  <c r="H88" i="8" s="1"/>
  <c r="H92" i="8" a="1"/>
  <c r="H92" i="8" s="1"/>
  <c r="H99" i="8" a="1"/>
  <c r="H99" i="8" s="1"/>
  <c r="H103" i="8" a="1"/>
  <c r="H103" i="8" s="1"/>
  <c r="H68" i="8" a="1"/>
  <c r="H68" i="8" s="1"/>
  <c r="H91" i="8" a="1"/>
  <c r="H91" i="8" s="1"/>
  <c r="H98" i="8" a="1"/>
  <c r="H98" i="8" s="1"/>
  <c r="H105" i="8" a="1"/>
  <c r="H105" i="8" s="1"/>
  <c r="H34" i="8" a="1"/>
  <c r="H34" i="8" s="1"/>
  <c r="H38" i="8" a="1"/>
  <c r="H38" i="8" s="1"/>
  <c r="H41" i="8" a="1"/>
  <c r="H41" i="8" s="1"/>
  <c r="H44" i="8" a="1"/>
  <c r="H44" i="8" s="1"/>
  <c r="H48" i="8" a="1"/>
  <c r="H48" i="8" s="1"/>
  <c r="H52" i="8" a="1"/>
  <c r="H52" i="8" s="1"/>
  <c r="H58" i="8" a="1"/>
  <c r="H58" i="8" s="1"/>
  <c r="H62" i="8" a="1"/>
  <c r="H62" i="8" s="1"/>
  <c r="H66" i="8" a="1"/>
  <c r="H66" i="8" s="1"/>
  <c r="H70" i="8" a="1"/>
  <c r="H70" i="8" s="1"/>
  <c r="H73" i="8" a="1"/>
  <c r="H73" i="8" s="1"/>
  <c r="H77" i="8" a="1"/>
  <c r="H77" i="8" s="1"/>
  <c r="H81" i="8" a="1"/>
  <c r="H81" i="8" s="1"/>
  <c r="H85" i="8" a="1"/>
  <c r="H85" i="8" s="1"/>
  <c r="H89" i="8" a="1"/>
  <c r="H89" i="8" s="1"/>
  <c r="H93" i="8" a="1"/>
  <c r="H93" i="8" s="1"/>
  <c r="H96" i="8" a="1"/>
  <c r="H96" i="8" s="1"/>
  <c r="H100" i="8" a="1"/>
  <c r="H100" i="8" s="1"/>
  <c r="H35" i="8" a="1"/>
  <c r="H35" i="8" s="1"/>
  <c r="H39" i="8" a="1"/>
  <c r="H39" i="8" s="1"/>
  <c r="H45" i="8" a="1"/>
  <c r="H45" i="8" s="1"/>
  <c r="H49" i="8" a="1"/>
  <c r="H49" i="8" s="1"/>
  <c r="H53" i="8" a="1"/>
  <c r="H53" i="8" s="1"/>
  <c r="H56" i="8" a="1"/>
  <c r="H56" i="8" s="1"/>
  <c r="H59" i="8" a="1"/>
  <c r="H59" i="8" s="1"/>
  <c r="H63" i="8" a="1"/>
  <c r="H63" i="8" s="1"/>
  <c r="H67" i="8" a="1"/>
  <c r="H67" i="8" s="1"/>
  <c r="H71" i="8" a="1"/>
  <c r="H71" i="8" s="1"/>
  <c r="H74" i="8" a="1"/>
  <c r="H74" i="8" s="1"/>
  <c r="H78" i="8" a="1"/>
  <c r="H78" i="8" s="1"/>
  <c r="H82" i="8" a="1"/>
  <c r="H82" i="8" s="1"/>
  <c r="H86" i="8" a="1"/>
  <c r="H86" i="8" s="1"/>
  <c r="H90" i="8" a="1"/>
  <c r="H90" i="8" s="1"/>
  <c r="H94" i="8" a="1"/>
  <c r="H94" i="8" s="1"/>
  <c r="H97" i="8" a="1"/>
  <c r="H97" i="8" s="1"/>
  <c r="H101" i="8" a="1"/>
  <c r="H101" i="8" s="1"/>
  <c r="H104" i="8" a="1"/>
  <c r="H104" i="8" s="1"/>
  <c r="H36" i="8" a="1"/>
  <c r="H36" i="8" s="1"/>
  <c r="H42" i="8" a="1"/>
  <c r="H42" i="8" s="1"/>
  <c r="H46" i="8" a="1"/>
  <c r="H46" i="8" s="1"/>
  <c r="H50" i="8" a="1"/>
  <c r="H50" i="8" s="1"/>
  <c r="H54" i="8" a="1"/>
  <c r="H54" i="8" s="1"/>
  <c r="H57" i="8" a="1"/>
  <c r="H57" i="8" s="1"/>
  <c r="H60" i="8" a="1"/>
  <c r="H60" i="8" s="1"/>
  <c r="H64" i="8" a="1"/>
  <c r="H64" i="8" s="1"/>
  <c r="H75" i="8" a="1"/>
  <c r="H75" i="8" s="1"/>
  <c r="H79" i="8" a="1"/>
  <c r="H79" i="8" s="1"/>
  <c r="H83" i="8" a="1"/>
  <c r="H83" i="8" s="1"/>
  <c r="H87" i="8" a="1"/>
  <c r="H87" i="8" s="1"/>
  <c r="H95" i="8" a="1"/>
  <c r="H95" i="8" s="1"/>
  <c r="H102" i="8" a="1"/>
  <c r="H102" i="8" s="1"/>
  <c r="J8" i="2"/>
  <c r="J9" i="2"/>
  <c r="J10" i="2"/>
  <c r="J11" i="2"/>
  <c r="I11" i="2" s="1"/>
  <c r="J12" i="2"/>
  <c r="I12" i="2" s="1"/>
  <c r="J13" i="2"/>
  <c r="J14" i="2"/>
  <c r="I14" i="2" s="1"/>
  <c r="J15" i="2"/>
  <c r="I15" i="2" s="1"/>
  <c r="J16" i="2"/>
  <c r="J17" i="2"/>
  <c r="I17" i="2" s="1"/>
  <c r="J18" i="2"/>
  <c r="I18" i="2" s="1"/>
  <c r="J19" i="2"/>
  <c r="I19" i="2" s="1"/>
  <c r="J20" i="2"/>
  <c r="I20" i="2" s="1"/>
  <c r="J21" i="2"/>
  <c r="I21" i="2" s="1"/>
  <c r="J22" i="2"/>
  <c r="I22" i="2" s="1"/>
  <c r="J23" i="2"/>
  <c r="J24" i="2"/>
  <c r="I24" i="2" s="1"/>
  <c r="J25" i="2"/>
  <c r="I25" i="2" s="1"/>
  <c r="J26" i="2"/>
  <c r="I26" i="2" s="1"/>
  <c r="J27" i="2"/>
  <c r="I27" i="2" s="1"/>
  <c r="J28" i="2"/>
  <c r="I28" i="2" s="1"/>
  <c r="J29" i="2"/>
  <c r="I29" i="2" s="1"/>
  <c r="J30" i="2"/>
  <c r="I30" i="2" s="1"/>
  <c r="J31" i="2"/>
  <c r="I31" i="2" s="1"/>
  <c r="J32" i="2"/>
  <c r="I32" i="2" s="1"/>
  <c r="J33" i="2"/>
  <c r="J34" i="2"/>
  <c r="J35" i="2"/>
  <c r="J36" i="2"/>
  <c r="I36" i="2" s="1"/>
  <c r="J37" i="2"/>
  <c r="I38" i="2"/>
  <c r="J39" i="2"/>
  <c r="I39" i="2" s="1"/>
  <c r="J40" i="2"/>
  <c r="J7" i="2"/>
  <c r="E40" i="8" a="1"/>
  <c r="E39" i="8" a="1"/>
  <c r="E38" i="8" a="1"/>
  <c r="E37" i="8" a="1"/>
  <c r="E36" i="8" a="1"/>
  <c r="E35" i="8" a="1"/>
  <c r="E34" i="8" a="1"/>
  <c r="E33" i="8" a="1"/>
  <c r="E32" i="8" a="1"/>
  <c r="E31" i="8" a="1"/>
  <c r="E30" i="8" a="1"/>
  <c r="E29" i="8" a="1"/>
  <c r="E28" i="8" a="1"/>
  <c r="H33" i="8" a="1"/>
  <c r="H28" i="8" a="1"/>
  <c r="E24" i="8" a="1"/>
  <c r="H11" i="8" a="1"/>
  <c r="E21" i="8" a="1"/>
  <c r="H31" i="8" a="1"/>
  <c r="E15" i="8" a="1"/>
  <c r="H14" i="8" a="1"/>
  <c r="E10" i="8" a="1"/>
  <c r="H4" i="8" a="1"/>
  <c r="H21" i="8" a="1"/>
  <c r="H23" i="8" a="1"/>
  <c r="H3" i="8" a="1"/>
  <c r="E25" i="8" a="1"/>
  <c r="H5" i="8" a="1"/>
  <c r="H32" i="8" a="1"/>
  <c r="H26" i="8" a="1"/>
  <c r="E13" i="8" a="1"/>
  <c r="E8" i="8" a="1"/>
  <c r="H19" i="8" a="1"/>
  <c r="E23" i="8" a="1"/>
  <c r="E17" i="8" a="1"/>
  <c r="E19" i="8" a="1"/>
  <c r="H17" i="8" a="1"/>
  <c r="H20" i="8" a="1"/>
  <c r="E16" i="8" a="1"/>
  <c r="E11" i="8" a="1"/>
  <c r="E18" i="8" a="1"/>
  <c r="H9" i="8" a="1"/>
  <c r="E26" i="8" a="1"/>
  <c r="E14" i="8" a="1"/>
  <c r="E20" i="8" a="1"/>
  <c r="H29" i="8" a="1"/>
  <c r="E27" i="8" a="1"/>
  <c r="H30" i="8" a="1"/>
  <c r="H27" i="8" a="1"/>
  <c r="H24" i="8" a="1"/>
  <c r="H15" i="8" a="1"/>
  <c r="H22" i="8" a="1"/>
  <c r="H25" i="8" a="1"/>
  <c r="H10" i="8" a="1"/>
  <c r="H7" i="8" a="1"/>
  <c r="H13" i="8" a="1"/>
  <c r="E9" i="8" a="1"/>
  <c r="H12" i="8" a="1"/>
  <c r="H18" i="8" a="1"/>
  <c r="E22" i="8" a="1"/>
  <c r="H8" i="8" a="1"/>
  <c r="E12" i="8" a="1"/>
  <c r="H16" i="8" a="1"/>
  <c r="E6" i="8" a="1"/>
  <c r="E5" i="8" a="1"/>
  <c r="E3" i="8" a="1"/>
  <c r="E4" i="8" a="1"/>
  <c r="B63" i="8" l="1" a="1"/>
  <c r="B63" i="8" s="1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0" i="8"/>
  <c r="H9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H8" i="8"/>
  <c r="E20" i="8"/>
  <c r="E18" i="8"/>
  <c r="E17" i="8"/>
  <c r="E16" i="8"/>
  <c r="H7" i="8"/>
  <c r="H5" i="8"/>
  <c r="H4" i="8"/>
  <c r="H3" i="8"/>
  <c r="E15" i="8"/>
  <c r="E14" i="8"/>
  <c r="E13" i="8"/>
  <c r="E12" i="8"/>
  <c r="E11" i="8"/>
  <c r="B56" i="8" a="1"/>
  <c r="B56" i="8" s="1"/>
  <c r="B49" i="8" a="1"/>
  <c r="B49" i="8" s="1"/>
  <c r="B38" i="8" a="1"/>
  <c r="B38" i="8" s="1"/>
  <c r="E10" i="8"/>
  <c r="E9" i="8"/>
  <c r="E8" i="8"/>
  <c r="E6" i="8"/>
  <c r="E5" i="8"/>
  <c r="E4" i="8"/>
  <c r="E3" i="8"/>
  <c r="B54" i="8" a="1"/>
  <c r="B54" i="8" s="1"/>
  <c r="B53" i="8" a="1"/>
  <c r="B53" i="8" s="1"/>
  <c r="B37" i="8" a="1"/>
  <c r="B37" i="8" s="1"/>
  <c r="B42" i="8" a="1"/>
  <c r="B42" i="8" s="1"/>
  <c r="B70" i="8" a="1"/>
  <c r="B70" i="8" s="1"/>
  <c r="B103" i="8" a="1"/>
  <c r="B103" i="8" s="1"/>
  <c r="B55" i="8" a="1"/>
  <c r="B55" i="8" s="1"/>
  <c r="B51" i="8" a="1"/>
  <c r="B51" i="8" s="1"/>
  <c r="B40" i="8" a="1"/>
  <c r="B40" i="8" s="1"/>
  <c r="B73" i="8" a="1"/>
  <c r="B73" i="8" s="1"/>
  <c r="B83" i="8" a="1"/>
  <c r="B83" i="8" s="1"/>
  <c r="B65" i="8" a="1"/>
  <c r="B65" i="8" s="1"/>
  <c r="B57" i="8" a="1"/>
  <c r="B57" i="8" s="1"/>
  <c r="B52" i="8" a="1"/>
  <c r="B52" i="8" s="1"/>
  <c r="B88" i="8" a="1"/>
  <c r="B88" i="8" s="1"/>
  <c r="B58" i="8" a="1"/>
  <c r="B58" i="8" s="1"/>
  <c r="B45" i="8" a="1"/>
  <c r="B45" i="8" s="1"/>
  <c r="B89" i="8" a="1"/>
  <c r="B89" i="8" s="1"/>
  <c r="B66" i="8" a="1"/>
  <c r="B66" i="8" s="1"/>
  <c r="B80" i="8" a="1"/>
  <c r="B80" i="8" s="1"/>
  <c r="B59" i="8" a="1"/>
  <c r="B59" i="8" s="1"/>
  <c r="B43" i="8" a="1"/>
  <c r="B43" i="8" s="1"/>
  <c r="B48" i="8" a="1"/>
  <c r="B48" i="8" s="1"/>
  <c r="B74" i="8" a="1"/>
  <c r="B74" i="8" s="1"/>
  <c r="B82" i="8" a="1"/>
  <c r="B82" i="8" s="1"/>
  <c r="B87" i="8" a="1"/>
  <c r="B87" i="8" s="1"/>
  <c r="B90" i="8" a="1"/>
  <c r="B90" i="8" s="1"/>
  <c r="B86" i="8" a="1"/>
  <c r="B86" i="8" s="1"/>
  <c r="B60" i="8" a="1"/>
  <c r="B60" i="8" s="1"/>
  <c r="B41" i="8" a="1"/>
  <c r="B41" i="8" s="1"/>
  <c r="B46" i="8" a="1"/>
  <c r="B46" i="8" s="1"/>
  <c r="B78" i="8" a="1"/>
  <c r="B78" i="8" s="1"/>
  <c r="B104" i="8" a="1"/>
  <c r="B104" i="8" s="1"/>
  <c r="B79" i="8" a="1"/>
  <c r="B79" i="8" s="1"/>
  <c r="B47" i="8" a="1"/>
  <c r="B47" i="8" s="1"/>
  <c r="B50" i="8" a="1"/>
  <c r="B50" i="8" s="1"/>
  <c r="B61" i="8" a="1"/>
  <c r="B61" i="8" s="1"/>
  <c r="B39" i="8" a="1"/>
  <c r="B39" i="8" s="1"/>
  <c r="B44" i="8" a="1"/>
  <c r="B44" i="8" s="1"/>
  <c r="B93" i="8" a="1"/>
  <c r="B93" i="8" s="1"/>
  <c r="B68" i="8" a="1"/>
  <c r="B68" i="8" s="1"/>
  <c r="B75" i="8" a="1"/>
  <c r="B75" i="8" s="1"/>
  <c r="B62" i="8" a="1"/>
  <c r="B62" i="8" s="1"/>
  <c r="B77" i="8" a="1"/>
  <c r="B77" i="8" s="1"/>
  <c r="B84" i="8" a="1"/>
  <c r="B84" i="8" s="1"/>
  <c r="B105" i="8" a="1"/>
  <c r="B105" i="8" s="1"/>
  <c r="B72" i="8" a="1"/>
  <c r="B72" i="8" s="1"/>
  <c r="B69" i="8" a="1"/>
  <c r="B69" i="8" s="1"/>
  <c r="B94" i="8" a="1"/>
  <c r="B94" i="8" s="1"/>
  <c r="B85" i="8" a="1"/>
  <c r="B85" i="8" s="1"/>
  <c r="B81" i="8" a="1"/>
  <c r="B81" i="8" s="1"/>
  <c r="B98" i="8" a="1"/>
  <c r="B98" i="8" s="1"/>
  <c r="B76" i="8" a="1"/>
  <c r="B76" i="8" s="1"/>
  <c r="B99" i="8" a="1"/>
  <c r="B99" i="8" s="1"/>
  <c r="B67" i="8" a="1"/>
  <c r="B67" i="8" s="1"/>
  <c r="B64" i="8" a="1"/>
  <c r="B64" i="8" s="1"/>
  <c r="B101" i="8" a="1"/>
  <c r="B101" i="8" s="1"/>
  <c r="B71" i="8" a="1"/>
  <c r="B71" i="8" s="1"/>
  <c r="B97" i="8" a="1"/>
  <c r="B97" i="8" s="1"/>
  <c r="B92" i="8" a="1"/>
  <c r="B92" i="8" s="1"/>
  <c r="B100" i="8" a="1"/>
  <c r="B100" i="8" s="1"/>
  <c r="B91" i="8" a="1"/>
  <c r="B91" i="8" s="1"/>
  <c r="B96" i="8" a="1"/>
  <c r="B96" i="8" s="1"/>
  <c r="B102" i="8" a="1"/>
  <c r="B102" i="8" s="1"/>
  <c r="B95" i="8" a="1"/>
  <c r="B95" i="8" s="1"/>
  <c r="H14" i="8"/>
  <c r="H13" i="8"/>
  <c r="H12" i="8"/>
  <c r="H11" i="8"/>
  <c r="E19" i="8"/>
  <c r="J49" i="2"/>
  <c r="I23" i="2"/>
  <c r="L53" i="2"/>
  <c r="I61" i="2" s="1"/>
  <c r="I13" i="2"/>
  <c r="L52" i="2"/>
  <c r="I60" i="2" s="1"/>
  <c r="I10" i="2"/>
  <c r="L51" i="2"/>
  <c r="I9" i="2"/>
  <c r="L50" i="2"/>
  <c r="I16" i="2"/>
  <c r="I8" i="2"/>
  <c r="L49" i="2"/>
  <c r="I57" i="2" s="1"/>
  <c r="I43" i="2"/>
  <c r="F44" i="2" s="1"/>
  <c r="I7" i="2"/>
  <c r="I33" i="2"/>
  <c r="I34" i="2"/>
  <c r="I35" i="2"/>
  <c r="I37" i="2"/>
  <c r="I40" i="2"/>
  <c r="J52" i="2"/>
  <c r="J53" i="2"/>
  <c r="J51" i="2"/>
  <c r="J50" i="2"/>
  <c r="B36" i="8" a="1"/>
  <c r="B35" i="8" a="1"/>
  <c r="B34" i="8" a="1"/>
  <c r="B33" i="8" a="1"/>
  <c r="B32" i="8" a="1"/>
  <c r="B31" i="8" a="1"/>
  <c r="B30" i="8" a="1"/>
  <c r="B29" i="8" a="1"/>
  <c r="B28" i="8" a="1"/>
  <c r="B27" i="8" a="1"/>
  <c r="B26" i="8" a="1"/>
  <c r="B25" i="8" a="1"/>
  <c r="B23" i="8" a="1"/>
  <c r="B24" i="8" a="1"/>
  <c r="B22" i="8" a="1"/>
  <c r="B21" i="8" a="1"/>
  <c r="B19" i="8" a="1"/>
  <c r="B14" i="8" a="1"/>
  <c r="B17" i="8" a="1"/>
  <c r="B13" i="8" a="1"/>
  <c r="B9" i="8" a="1"/>
  <c r="B8" i="8" a="1"/>
  <c r="B12" i="8" a="1"/>
  <c r="B7" i="8" a="1"/>
  <c r="B6" i="8" a="1"/>
  <c r="B5" i="8" a="1"/>
  <c r="B11" i="8" a="1"/>
  <c r="B20" i="8" a="1"/>
  <c r="B10" i="8" a="1"/>
  <c r="B3" i="8" a="1"/>
  <c r="B15" i="8" a="1"/>
  <c r="B18" i="8" a="1"/>
  <c r="B16" i="8" a="1"/>
  <c r="B4" i="8" a="1"/>
  <c r="B9" i="8" l="1"/>
  <c r="I58" i="2"/>
  <c r="I59" i="2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8" i="8"/>
  <c r="B7" i="8"/>
  <c r="B6" i="8"/>
  <c r="B5" i="8"/>
  <c r="B4" i="8"/>
  <c r="B3" i="8"/>
</calcChain>
</file>

<file path=xl/sharedStrings.xml><?xml version="1.0" encoding="utf-8"?>
<sst xmlns="http://schemas.openxmlformats.org/spreadsheetml/2006/main" count="266" uniqueCount="209">
  <si>
    <t>Cases marqués</t>
  </si>
  <si>
    <t>REVER</t>
  </si>
  <si>
    <t>PENSER</t>
  </si>
  <si>
    <t>TESTER</t>
  </si>
  <si>
    <t>CROITRE</t>
  </si>
  <si>
    <t>DEMARRER</t>
  </si>
  <si>
    <t>COMPETENCES FORTES</t>
  </si>
  <si>
    <t>COMPETENCES MOYENNES</t>
  </si>
  <si>
    <t>COMPETENCES FAIBLES</t>
  </si>
  <si>
    <t>V. M</t>
  </si>
  <si>
    <t>TOTAL</t>
  </si>
  <si>
    <t>V. FT</t>
  </si>
  <si>
    <t>V. FB</t>
  </si>
  <si>
    <t>COMPETENCES_FORTES</t>
  </si>
  <si>
    <t>COMPETENCES_MOYENNES</t>
  </si>
  <si>
    <t>COMPETENCES_FAIBLES</t>
  </si>
  <si>
    <t>PERFIL DE COMPETENCIAS EMPRESARIALES</t>
  </si>
  <si>
    <r>
      <t>·</t>
    </r>
    <r>
      <rPr>
        <sz val="11"/>
        <color theme="1"/>
        <rFont val="Calibri"/>
        <family val="2"/>
        <scheme val="minor"/>
      </rPr>
      <t>     ¿Está a punto de tomar una decisión para lanzarse en negocios?</t>
    </r>
  </si>
  <si>
    <r>
      <t>·</t>
    </r>
    <r>
      <rPr>
        <sz val="11"/>
        <color theme="1"/>
        <rFont val="Calibri"/>
        <family val="2"/>
        <scheme val="minor"/>
      </rPr>
      <t>     ¿Está cuestionando sus habilidades empresariales?</t>
    </r>
  </si>
  <si>
    <t xml:space="preserve">Con la realizacion de este perfil le proponemos realizar acciones concretas para ayudarle a comprender mejor su potencial empresarial, fortalecer sus habilidades e impulsar sus proyectos de negocio. 
Completando este perfil de competencias podra:
</t>
  </si>
  <si>
    <r>
      <t>1.</t>
    </r>
    <r>
      <rPr>
        <sz val="11"/>
        <color theme="1"/>
        <rFont val="Calibri"/>
        <family val="2"/>
        <scheme val="minor"/>
      </rPr>
      <t>     Aclarar en qué etapa del recorrido empresarial se encuentra.</t>
    </r>
  </si>
  <si>
    <r>
      <t>2.</t>
    </r>
    <r>
      <rPr>
        <sz val="11"/>
        <color theme="1"/>
        <rFont val="Calibri"/>
        <family val="2"/>
        <scheme val="minor"/>
      </rPr>
      <t>     Clasificar sus habilidades (fuertes, medianas y débiles).</t>
    </r>
  </si>
  <si>
    <r>
      <t>3.</t>
    </r>
    <r>
      <rPr>
        <sz val="11"/>
        <color theme="1"/>
        <rFont val="Calibri"/>
        <family val="2"/>
        <scheme val="minor"/>
      </rPr>
      <t>     Elaborar un plan de acción para fortalecer sus habilidades</t>
    </r>
  </si>
  <si>
    <r>
      <t>4.</t>
    </r>
    <r>
      <rPr>
        <sz val="11"/>
        <color theme="1"/>
        <rFont val="Calibri"/>
        <family val="2"/>
        <scheme val="minor"/>
      </rPr>
      <t>     Iniciar su proyecto de negocio teniendo en cuenta que debe mejorar.</t>
    </r>
  </si>
  <si>
    <t>1.     Aclare en qué etapa del recorrido empresarial se encuentra</t>
  </si>
  <si>
    <t>Marque una "X" a la derecha de cada afirmacion que se aplique a su situación.  </t>
  </si>
  <si>
    <t>No sé si el emprendimiento es para mí.</t>
  </si>
  <si>
    <t>Tengo una idea de negocio, pero no sé si funcionará.</t>
  </si>
  <si>
    <t>Mi empresa no hace ventas o sólo ventas ocasionales.</t>
  </si>
  <si>
    <t>Mi empresa ha estado en el mercado de 6 meses a 2 años y está haciendo ventas.</t>
  </si>
  <si>
    <t>Mi negocio está en el punto de equilibrio o lo ha alcanzado.</t>
  </si>
  <si>
    <t xml:space="preserve">Mi empresa puede pagar un salario periodico para mí y/o mis empleados. </t>
  </si>
  <si>
    <t>No soy un empresario, pero vengo de una familia de empresarios y sueño con ser dueño de un negocio o hacerme cargo del negocio de mi familia.</t>
  </si>
  <si>
    <t>Tengo una idea para un negocio, pero no tengo dinero para empezar y me piden un modelo de negocio para financiarlo</t>
  </si>
  <si>
    <t xml:space="preserve">Soy un emprendedor(a) que está en el proceso de identificar a sus clientes. </t>
  </si>
  <si>
    <t>Soy un emprendedor(a) con poca confianza en mí mismo y en mi éxito, ya que aún no tengo ningún resultado concreto que mostrar.</t>
  </si>
  <si>
    <t>Soy un emprendedor(a) que hace la mayor parte del trabajo para la empresa solo y a menudo me falta tiempo.</t>
  </si>
  <si>
    <t>Todavía no tengo un negocio.</t>
  </si>
  <si>
    <t>Soy la única persona empleada en mi empresa.</t>
  </si>
  <si>
    <t>Mi idea de negocio ha estado en desarrollo durante 0 - 6 meses.</t>
  </si>
  <si>
    <t>Mi empresa está registrada en camara de comercio.</t>
  </si>
  <si>
    <t>Mi empresa está en actividad, pero aún no esta registrada en camara de comercio.</t>
  </si>
  <si>
    <t>Soy un emprendedor(a) con buenas habilidades de gestión empresarial.</t>
  </si>
  <si>
    <t>Sueño con convertirme en un emprendedor(a) porque tengo muchas ideas de negocios.</t>
  </si>
  <si>
    <t>Soy un emprendedor(a) que ha hecho pruebas de mercado, es decir: conozco a mi competencia, a mis clientes y sé las oportunidades y amenazas relacionadas con mi proyecto empresarial.</t>
  </si>
  <si>
    <t>Soy un emprendedor(a) que tiene una hipotesis clara sobre mi mercado, lo que significa que tengo una idea de qué estrategias pueden funcionar con mis clientes potenciales.</t>
  </si>
  <si>
    <t>Soy un emprendedor(a) que ha obtenido financiación.</t>
  </si>
  <si>
    <t>Soy un emprendedor(a) con un plan de negocios finalizado.</t>
  </si>
  <si>
    <t>Soy un emprendedor(a) que tiene una idea clara del proyecto empresarial, pero que aún no lo ha probado en el mercado.</t>
  </si>
  <si>
    <t>Mi empresa ha hecho algunas ventas.</t>
  </si>
  <si>
    <t>Mi empresa tiene ventas regulares.</t>
  </si>
  <si>
    <t>Mi empresa tiene varios empleados.</t>
  </si>
  <si>
    <t>Mi empresa tiene un modelo de negocio que se está adaptando en base a lo que aprendí de mis pruebas de mercado.</t>
  </si>
  <si>
    <t>Mi empresa ha estado en el mercado por más de 2 años y está haciendo ventas.</t>
  </si>
  <si>
    <t>Mi empresa tiene un modelo de negocio probado que se ha ajustado al aprendizaje del mercado.</t>
  </si>
  <si>
    <t>Soy un emprendedor(a) que sabe cómo vender.</t>
  </si>
  <si>
    <t>Soy un emprendedor(a) con habilidades en contabilidad y gestión financiera.</t>
  </si>
  <si>
    <t>Tengo la oportunidad de entrar en un negocio, pero no sé si es un buen proyecto.</t>
  </si>
  <si>
    <t>Tomé la decisión de arrancer un negocio, tengo la idea, pero no sé cómo empezar.</t>
  </si>
  <si>
    <t>SOÑAR</t>
  </si>
  <si>
    <t>PENSAR</t>
  </si>
  <si>
    <t>PROBAR</t>
  </si>
  <si>
    <t>ARRANCAR</t>
  </si>
  <si>
    <t>CRECER</t>
  </si>
  <si>
    <t>ETAPA</t>
  </si>
  <si>
    <t>Descripcion</t>
  </si>
  <si>
    <t>Soy una persona que tiene una necesidad (tiempo, dinero, confianza, etc.) y sueña con tener un negocio, pero no tiene una idea clara.</t>
  </si>
  <si>
    <t>Un emprendedor en la etapa SOÑAR no tiene todavía un negocio. No sabe si el emprendimiento es para él, pero sueña o siempre ha soñado con ser empresario.  Tiene varias ideas para proyectos de negocios. Necesita tiempo, dinero o confianza. O bien viene de una familia o región emprendedora y quiere continuar la tradición o cree que el emprendimiento es una solución.
¿Se reconoce a Usted mismo?</t>
  </si>
  <si>
    <t>El emprendedor que está en la etapa PENSAR todavía no tiene un negocio. Él o ella ha tomado la decisión de arrancar un negocio. Tiene una idea de negocio, pero no sabe si es un buen proyecto o si puede funcionar. Aún no ha probado su idea en el mercado y no sabe cómo empezar. Si su idea es clara, no tiene dinero para empezar y le piden un plan de negocio para financiarlo.</t>
  </si>
  <si>
    <t xml:space="preserve">El emprendedor que está en la etapa PROBAR, ha estado en desarrollo durante 0 - 6 meses. El emprendedor que está solo realiza todas o la mayoría de las tareas del negocio y a menudo le falta tiempo. Le falta confianza en sí mismo y en su éxito. Él o ella está haciendo pruebas de mercado, para averiguar sobre la competencia y los clientes objetivo. Su empresa no hace todavía ninguna venta o sólo ventas ocasionales.
</t>
  </si>
  <si>
    <t>El emprendedor que está en la etapa ARRANCAR, ha estado en desarrollo durante 6 meses a 2 años y está haciendo ventas. Salvo algunas excepciones, el emprendedor está solo, realiza todas o la mayoría de las tareas del negocio y a menudo le falta tiempo. Su empresa tiene un modelo de negocio que se está adaptando en base a lo que ha aprendido de las pruebas en el mercado. En algunas acasiones, la empresa está en funcionamiento pero aún no esta registrada en la camara de comercio.
¿Se reconoce a Usted mismo?</t>
  </si>
  <si>
    <t xml:space="preserve">El empresario que está en la etapa CRECER ha estado en desarrollo por más de 2 años y está haciendo ventas regulares. El empresario tiene buenas aptitudes en contabilidad y gestión financiera. 
La empresa tiene un modelo de negocio probado y adaptado al mercado. Ha alcanzado su punto de equilibrio, ha obtenido financiación, tiene varios empleados y puede pagar un salario periodico para el empresario y/o sus empleados.
¿Se reconoce a Usted mismo?
</t>
  </si>
  <si>
    <t>HABILIDADES PERSONALES E INTERPERSONALES (SABER SER)</t>
  </si>
  <si>
    <t>DEMOSTRAR LAS HABILIDADES Y ACTITUDES PERSONALES</t>
  </si>
  <si>
    <t>Fuerte</t>
  </si>
  <si>
    <t>Media </t>
  </si>
  <si>
    <t>Soñar y tener una visión</t>
  </si>
  <si>
    <t>Ser curioso (a)</t>
  </si>
  <si>
    <t>Creer en si mismo y tener confianza en si mismo</t>
  </si>
  <si>
    <t>Ser ingenioso (a)</t>
  </si>
  <si>
    <t>Pasar a la accion</t>
  </si>
  <si>
    <t>Mostrar un espíritu creativo</t>
  </si>
  <si>
    <t>Auto-motivación</t>
  </si>
  <si>
    <t>Tomar riesgos</t>
  </si>
  <si>
    <t>Tomar decisiones</t>
  </si>
  <si>
    <t>Demostrar liderazgo</t>
  </si>
  <si>
    <t>Mostrar determinación, perseverancia</t>
  </si>
  <si>
    <t>Aprender de los errores, los fracasos y las experiencias</t>
  </si>
  <si>
    <t>Delegar</t>
  </si>
  <si>
    <t>Créer en su proyecto</t>
  </si>
  <si>
    <t>Manejar el tiempo</t>
  </si>
  <si>
    <t>Analizar</t>
  </si>
  <si>
    <t>Evaluar</t>
  </si>
  <si>
    <t>Resolver problemas técnicos y humanos</t>
  </si>
  <si>
    <t>Saber cuestionarse a uno mismo</t>
  </si>
  <si>
    <t>Demostrar un conocimiento profundo de su producto o servicio</t>
  </si>
  <si>
    <t>Adaptarse a diversas situaciones</t>
  </si>
  <si>
    <t>Manejar el estrés</t>
  </si>
  <si>
    <t>Conócerse a si mismo de manera realista</t>
  </si>
  <si>
    <t>Pedir ayuda y consejo</t>
  </si>
  <si>
    <t>HABILIDADES DE NEGOCIOS</t>
  </si>
  <si>
    <t>Débil </t>
  </si>
  <si>
    <t>Marque una "X" en la casilla correspondiente que describa su nivel de habilidad, ya sea fuerte, media o débil.</t>
  </si>
  <si>
    <r>
      <t>Una competencia es una habilidad que una persona tiene para realizar una tarea. Las competencias se desarrollan en la acción y pueden traducirse en conocimientos: 
-</t>
    </r>
    <r>
      <rPr>
        <b/>
        <sz val="11"/>
        <color theme="1"/>
        <rFont val="Calibri"/>
        <family val="2"/>
        <scheme val="minor"/>
      </rPr>
      <t xml:space="preserve"> Saber hacer</t>
    </r>
    <r>
      <rPr>
        <sz val="11"/>
        <color theme="1"/>
        <rFont val="Calibri"/>
        <family val="2"/>
        <scheme val="minor"/>
      </rPr>
      <t xml:space="preserve">: Un emprendedor tiene experiencia; tiene conocimientos para hacer algo que se traduzca en un negocio. Su fuente de inspiración es su oficio/ocupación principal.
- </t>
    </r>
    <r>
      <rPr>
        <b/>
        <sz val="11"/>
        <color theme="1"/>
        <rFont val="Calibri"/>
        <family val="2"/>
        <scheme val="minor"/>
      </rPr>
      <t>Saber ser</t>
    </r>
    <r>
      <rPr>
        <sz val="11"/>
        <color theme="1"/>
        <rFont val="Calibri"/>
        <family val="2"/>
        <scheme val="minor"/>
      </rPr>
      <t>: Estas son las habilidades que hacen que un emprendedor tenga éxito a largo plazo. Tanto las competencias del "saber hacer" como las "habilidaes blandas" se pueden reforzar con entrenamiento y orientación.</t>
    </r>
  </si>
  <si>
    <t>Sin embargo, es importante que el empresario y el emprendedor identifiquen sus aptitudes más débiles a fin de preparar un plan de acción.</t>
  </si>
  <si>
    <t>En la tabla, encontrará afirmaciones divididas en 3 tipos de habilidades
Marque la casilla apropiada que describe su nivel de habilidad, ya sea alto, medio o bajo.</t>
  </si>
  <si>
    <t>DISEÑA TU PROYECTO, TU VISIÓN, TU SUEÑO</t>
  </si>
  <si>
    <t>Escoger su proyecto</t>
  </si>
  <si>
    <t>Elegir ser un emprendedor</t>
  </si>
  <si>
    <t>Definir su visión, misión y objetivos</t>
  </si>
  <si>
    <t>Estructurar su proyecto empresarial</t>
  </si>
  <si>
    <t>Evaluar su proyecto de empresa</t>
  </si>
  <si>
    <t>Elegir la forma jurídica de la empresa</t>
  </si>
  <si>
    <t>DEMOSTRAR LA VIABILIDAD DEL PROYECTO Y PROMOVERLO</t>
  </si>
  <si>
    <t>Hacer un estudio de mercado</t>
  </si>
  <si>
    <t>Montar una estructura financiera</t>
  </si>
  <si>
    <t>Definir al estrategia de marketing</t>
  </si>
  <si>
    <t>Vender su proyecto a su familia y amigos</t>
  </si>
  <si>
    <t>Solicitar financiación o subvenciones</t>
  </si>
  <si>
    <t>Vender su proyecto a los proveedores</t>
  </si>
  <si>
    <t>CREAR UN NUEVO PROYECTO DE EMPRESA</t>
  </si>
  <si>
    <t>Estructurar la empresa</t>
  </si>
  <si>
    <t>Dar un nombre a la empresa</t>
  </si>
  <si>
    <t>Establecer el lugar de trabajo</t>
  </si>
  <si>
    <t>Establecer la estructura contable</t>
  </si>
  <si>
    <t>Conseguir equipos</t>
  </si>
  <si>
    <t>Lanzar una estrategia de marketing</t>
  </si>
  <si>
    <t>COMPETENCIAS EN GESTION</t>
  </si>
  <si>
    <t>Control de calidad según normas o estándares de calidad</t>
  </si>
  <si>
    <t>Enviar bienes o servicios</t>
  </si>
  <si>
    <t>Evaluar y optimizar el proceso de producción</t>
  </si>
  <si>
    <t>ORIENTAR LA EMPRESA</t>
  </si>
  <si>
    <t>Recoger y recopilar datos sobre la empresa y medir sus resultados</t>
  </si>
  <si>
    <t>Asegurar una vigilancia estratégica del entorno empresarial</t>
  </si>
  <si>
    <t>Evaluar los puntos fuertes y débiles, los resultados, las oportunidades y las amenazas para la empresa</t>
  </si>
  <si>
    <t>Posicionar su empresa en relación con la competencia y el mercado, y diferenciese de la competencia.</t>
  </si>
  <si>
    <t>Establecer un plan estrategico</t>
  </si>
  <si>
    <t>Proyectar su negocio hacia el futuro</t>
  </si>
  <si>
    <t>Comunicar las orientaciones a toda la empresa</t>
  </si>
  <si>
    <t>Gobernanza (Junta Directiva, accionistas, miembros, comité asesor)</t>
  </si>
  <si>
    <t>Ejecutar un plan estrategico</t>
  </si>
  <si>
    <t>Crear bienes o servicios e innovar</t>
  </si>
  <si>
    <t>HABILIDADES PERSONALES, INTERPERSONALES Y EMPRESARIALES</t>
  </si>
  <si>
    <t>BUSCAR INFORMACION</t>
  </si>
  <si>
    <t>Conocimiento de las fuentes de información empresarial del gobierno</t>
  </si>
  <si>
    <t>Conocimiento de las fuentes privadas de información comercial</t>
  </si>
  <si>
    <t>Conocimiento del ecosistema empresarial</t>
  </si>
  <si>
    <t>Capacidad para pedir ayuda</t>
  </si>
  <si>
    <t>Gusto por aprender</t>
  </si>
  <si>
    <t>CONSTRUIR Y MANTENER UNA RED PARA LA EMPRESA</t>
  </si>
  <si>
    <t>Apertura a otros</t>
  </si>
  <si>
    <t xml:space="preserve">Pertenencia a grupos y asociaciones </t>
  </si>
  <si>
    <t>Identificar oportunidades para expandir su red</t>
  </si>
  <si>
    <t xml:space="preserve">Asistir a eventos y conocer gente nueva </t>
  </si>
  <si>
    <t>DEMOSTRAR HABILIDADES DE COMUNICACIÓN</t>
  </si>
  <si>
    <t>Ser elocuente</t>
  </si>
  <si>
    <t>Saber escuchar</t>
  </si>
  <si>
    <t>Saber cómo comunicarse oralmente</t>
  </si>
  <si>
    <t>Saber vender</t>
  </si>
  <si>
    <t>Mostrar empatía</t>
  </si>
  <si>
    <t>Negociar</t>
  </si>
  <si>
    <t>Manejar sus emociones</t>
  </si>
  <si>
    <t>Trabajar en equipo</t>
  </si>
  <si>
    <t>Hacer presentaciones</t>
  </si>
  <si>
    <t>LISTA DE COMPETENCIAS</t>
  </si>
  <si>
    <t>COMPETENCIAS PERSONALES</t>
  </si>
  <si>
    <t>COMPETENCIAS EMPRESARIALES SUGERIDAS</t>
  </si>
  <si>
    <t>Si las habilidades que ha obtenido no están todavía en la lista de habilidades sugeridas, dependiendo de su etapa empresarial, aquí hay algunas herramientas y formaciones que sugerimos dependiendo de la etapa empresarial en la que se encuentre</t>
  </si>
  <si>
    <t>HERRAMIENTAS SUGERIDAS</t>
  </si>
  <si>
    <t>COMPETENCIAS EMPRESARIALES</t>
  </si>
  <si>
    <t>HERRAMIENTAS PROPUESTAS</t>
  </si>
  <si>
    <t xml:space="preserve">- Soñar y tener una visión
- Tenger curiosidad, 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
- Evaluar
- Gestionar su tiempo
- Participar en eventos
- Hablar con eficacia
- Manejar sus emociones
- Trabajar en equipo
</t>
  </si>
  <si>
    <t xml:space="preserve">- Soñar y tener una visión
- Tener curiosidad 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
- Evaluar
- Gestionar su tiempo
- Participar en eventos
- Conviértase en miembro de grupos y/o asociaciones.
- Identificar las oportunidades de ampliar su red de contactos
- Hablar con eficacia
- Manejar sus emociones
- Trabajar en equipo
- Demostrar liderazgo
- Delegar
- Resolver problemas técnicos y humanos
</t>
  </si>
  <si>
    <t>- Soñar y tener una visión
- Tener curiosidad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Pedir ayuda y consejo 
- Crear su proyecto 
- Analizar 
- Evaluar
- Gestionar su tiempo
- Participar en eventos
- Convertirse en miembro de grupos y/o asociaciones.
- Identificar las oportunidades de ampliar su red de contactos
- Hablar con eficacia
- Manejar tus emociones
- Trabajar en equipo
- Demostrar liderazgo
- Delegar
- Resolver problemas técnicos y humanos</t>
  </si>
  <si>
    <r>
      <t>- Eligir su proyecto
- Definir su visión, misión y objetivos
- Evaluar su proyecto de negocio
BUSCAR INFORMACIÓN
- Conocimiento de las fuentes de información empresarial del gobierno
- Conocimiento de las fuentes privadas de información comercial
- Conocimiento del ecosistema empresarial 
- Capacidad de pedir ayuda
- Gusto de aprender
- Ingenio</t>
    </r>
    <r>
      <rPr>
        <b/>
        <sz val="10"/>
        <color theme="1"/>
        <rFont val="Calibri"/>
        <family val="2"/>
        <scheme val="minor"/>
      </rPr>
      <t xml:space="preserve">
CONSTRUIR Y MANTENER UNA RED PARA LA EMPRESA</t>
    </r>
    <r>
      <rPr>
        <sz val="10"/>
        <color theme="1"/>
        <rFont val="Calibri"/>
        <family val="2"/>
        <scheme val="minor"/>
      </rPr>
      <t xml:space="preserve">
- Apertura a otros
- Conocimiento de la cultura empresarial 
- Conocimiento del ecosistema empresarial
- Pertenencia a grupos y asociaciones
- Identificar las oportunidades para ampliar su red
- Asistir a eventos y conocer gente nueva
</t>
    </r>
    <r>
      <rPr>
        <b/>
        <sz val="10"/>
        <color theme="1"/>
        <rFont val="Calibri"/>
        <family val="2"/>
        <scheme val="minor"/>
      </rPr>
      <t>DEMOSTRAR LAS HABILIDADES DE COMUNICACIÓN</t>
    </r>
    <r>
      <rPr>
        <sz val="10"/>
        <color theme="1"/>
        <rFont val="Calibri"/>
        <family val="2"/>
        <scheme val="minor"/>
      </rPr>
      <t xml:space="preserve">
- Hablar con eficacia  
- Saber escuchar
- Saber cómo comunicarse oralmente
- Saber cómo vender
- Mostrar empatía
- Negociar
- Manejar sus emociones
- Trabajar en equipo
- Hacer presentaciones</t>
    </r>
  </si>
  <si>
    <t xml:space="preserve">Taller Canvas de negocios – Generador de Modelos de Negocios – BMG (1)
Taller de validación del modelo y proyecto de negocios (costos y precio)
Taller presentaciones efectivas
</t>
  </si>
  <si>
    <r>
      <t xml:space="preserve">- Definir su visión Misión y objetivos
- Vender su proyecto a su familia y amigos
- Vender su proyecto a sus proveedores.
</t>
    </r>
    <r>
      <rPr>
        <b/>
        <sz val="11"/>
        <color theme="1"/>
        <rFont val="Calibri"/>
        <family val="2"/>
        <scheme val="minor"/>
      </rPr>
      <t>HABILIDADES DE GESTIÓN</t>
    </r>
    <r>
      <rPr>
        <sz val="11"/>
        <color theme="1"/>
        <rFont val="Calibri"/>
        <family val="2"/>
        <scheme val="minor"/>
      </rPr>
      <t xml:space="preserve">
- Crear una lista de clientes potenciales particulares o empresas
- Averiguar sobre los clientes
- Solicitar clientes
- Producir bienes o servicios.
</t>
    </r>
    <r>
      <rPr>
        <b/>
        <sz val="11"/>
        <color theme="1"/>
        <rFont val="Calibri"/>
        <family val="2"/>
        <scheme val="minor"/>
      </rPr>
      <t>SABER CÓMO BUSCAR INFORMACIÓN</t>
    </r>
    <r>
      <rPr>
        <sz val="11"/>
        <color theme="1"/>
        <rFont val="Calibri"/>
        <family val="2"/>
        <scheme val="minor"/>
      </rPr>
      <t xml:space="preserve">
- Conocimiento de las fuentes de información empresarial del gobierno
- Conocimiento de las fuentes privadas de información comercial
- Conocimiento del ecosistema empresarial 
- Capacidad de pedir ayuda
- Gusto de aprender
- Ingenio
</t>
    </r>
    <r>
      <rPr>
        <b/>
        <sz val="11"/>
        <color theme="1"/>
        <rFont val="Calibri"/>
        <family val="2"/>
        <scheme val="minor"/>
      </rPr>
      <t xml:space="preserve">CONSTRUIR Y MANTENER UNA RED PARA LA EMPRESA
</t>
    </r>
    <r>
      <rPr>
        <sz val="11"/>
        <color theme="1"/>
        <rFont val="Calibri"/>
        <family val="2"/>
        <scheme val="minor"/>
      </rPr>
      <t>- Apertura a otros
- Conocimiento de la cultura empresarial 
- Conocimiento del ecosistema empresarial
- La pertenencia a grupos y asociaciones
- Identificar las oportunidades para ampliar su red
- Asistir a eventos y conocer gente nueva</t>
    </r>
    <r>
      <rPr>
        <b/>
        <sz val="11"/>
        <color theme="1"/>
        <rFont val="Calibri"/>
        <family val="2"/>
        <scheme val="minor"/>
      </rPr>
      <t xml:space="preserve">
DEMOSTRAR LAS HABILIDADES DE COMUNICACIÓN
</t>
    </r>
    <r>
      <rPr>
        <sz val="11"/>
        <color theme="1"/>
        <rFont val="Calibri"/>
        <family val="2"/>
        <scheme val="minor"/>
      </rPr>
      <t>- Hablar con eficacia 
- Saber escuchar 
- Saber cómo comunicarse oralmente
- Saber cómo vender
- Mostrar empatía
- Negociar
- Manejar sus emociones
- Trabajar en equipo
- Hacer presentaciones</t>
    </r>
  </si>
  <si>
    <t xml:space="preserve">Taller de Prototipado
Taller  BMG (2) – Test Concepto
Taller Estrategia Financiera 1
Taller Derecho de negocios
</t>
  </si>
  <si>
    <t xml:space="preserve">Taller Gestión contable e impuestos 2
Plan de acción de arranque
Taller Técnicas de Ventas
Taller Marketing y comercio digital </t>
  </si>
  <si>
    <r>
      <t xml:space="preserve">- Estructurar su proyecto empresarial
- Darle un nombre a la empresa
- Eligir la forma jurídica de la empresa
- Establecer un lugar de trabajo
- Conseguir el equipo
- Definir la estrategia de marketing
- Lanzar la estrategia de marketing 
- Establecer una estructura financiera
- Solicitar financiación o subvenciones
- Vender su proyecto a su familia y amigos
- Vender su proyecto a sus proveedores
</t>
    </r>
    <r>
      <rPr>
        <b/>
        <sz val="9"/>
        <color theme="1"/>
        <rFont val="Calibri"/>
        <family val="2"/>
        <scheme val="minor"/>
      </rPr>
      <t>HABILIDADES DE GESTIÓN</t>
    </r>
    <r>
      <rPr>
        <sz val="9"/>
        <color theme="1"/>
        <rFont val="Calibri"/>
        <family val="2"/>
        <scheme val="minor"/>
      </rPr>
      <t xml:space="preserve">
- Destacar sus productos o servicios
- Publicidad
- Crear una lista de clientes potenciales particulares o empresas
- Averiguar sobre los clientes
- Solicitar clientes
- Negociar con los clientes
- Celebrar ventas, acuerdos o contratos con los clientes
- Producir bienes o servicios.
- Coordinar la producción
- Establecer programas de producción
- Contratación de los proveedores
</t>
    </r>
    <r>
      <rPr>
        <b/>
        <sz val="9"/>
        <color theme="1"/>
        <rFont val="Calibri"/>
        <family val="2"/>
        <scheme val="minor"/>
      </rPr>
      <t>CONSTRUIR Y MANTENER UNA RED PARA LA EMPRESA</t>
    </r>
    <r>
      <rPr>
        <sz val="9"/>
        <color theme="1"/>
        <rFont val="Calibri"/>
        <family val="2"/>
        <scheme val="minor"/>
      </rPr>
      <t xml:space="preserve">
- Apertura a otros
- Conocimiento de la cultura empresarial 
- Conocimiento del ecosistema empresarial
- La pertenencia a grupos y asociaciones
- Identificar las oportunidades para ampliar su red
- Asistir a eventos y conocer gente nueva
</t>
    </r>
    <r>
      <rPr>
        <b/>
        <sz val="9"/>
        <color theme="1"/>
        <rFont val="Calibri"/>
        <family val="2"/>
        <scheme val="minor"/>
      </rPr>
      <t>DEMOSTRAR LAS HABILIDADES DE COMUNICACIÓN</t>
    </r>
    <r>
      <rPr>
        <sz val="9"/>
        <color theme="1"/>
        <rFont val="Calibri"/>
        <family val="2"/>
        <scheme val="minor"/>
      </rPr>
      <t xml:space="preserve">
- Hablar con eficacia 
- Saber escuchar 
- Saber cómo comunicarse oralmente
- Saber cómo vender
- Mostrar empatía
- Negociar
- Manejar sus emociones
- Trabajar en equipo
- Hacer presentaciones
</t>
    </r>
  </si>
  <si>
    <r>
      <t xml:space="preserve">- Establecer de una estructura financiera
- Solicitar financiación o subvenciones
</t>
    </r>
    <r>
      <rPr>
        <b/>
        <sz val="10"/>
        <color theme="1"/>
        <rFont val="Calibri"/>
        <family val="2"/>
        <scheme val="minor"/>
      </rPr>
      <t xml:space="preserve"> HABILIDADES DE GESTIÓN</t>
    </r>
    <r>
      <rPr>
        <sz val="10"/>
        <color theme="1"/>
        <rFont val="Calibri"/>
        <family val="2"/>
        <scheme val="minor"/>
      </rPr>
      <t xml:space="preserve">
- Gestionar las ventas
- Manejo de las finanzas
- Gestionar la información
- Gestionar los recursos humanos
- Gestionar los recursos materiales y físicos (infraestructura, inmobiliaria, administración de TI, etc.)
- Asegurar el seguimiento del desempeño de la empresa
- Destacar los productos o servicios
- Publicidad
- Crear una lista de clientes potenciales particulares o empresas.
- Averiguar sobre los clientes
- Solicitar clientes
- Negociar con los clientes
- Celebrar ventas, acuerdos o contratos con los clientes
- Producir bienes o servicios.
- Coordinar la producción
- Establecer programas de producción
- Contratación de proveedores 
</t>
    </r>
    <r>
      <rPr>
        <b/>
        <sz val="10"/>
        <color theme="1"/>
        <rFont val="Calibri"/>
        <family val="2"/>
        <scheme val="minor"/>
      </rPr>
      <t>CONSTRUIR Y MANTENER UNA RED PARA LA EMPRESA</t>
    </r>
    <r>
      <rPr>
        <sz val="10"/>
        <color theme="1"/>
        <rFont val="Calibri"/>
        <family val="2"/>
        <scheme val="minor"/>
      </rPr>
      <t xml:space="preserve">
- Apertura a otros
- Conocimiento de la cultura empresarial 
- Conocimiento del ecosistema empresarial
- Pertenencia a grupos y asociaciones
- Identificar las oportunidades para ampliar su red
- Asistir a eventos y conocer gente nueva
</t>
    </r>
    <r>
      <rPr>
        <b/>
        <sz val="10"/>
        <color theme="1"/>
        <rFont val="Calibri"/>
        <family val="2"/>
        <scheme val="minor"/>
      </rPr>
      <t>DEMOSTRAR LAS HABILIDADES DE COMUNICACIÓN</t>
    </r>
    <r>
      <rPr>
        <sz val="10"/>
        <color theme="1"/>
        <rFont val="Calibri"/>
        <family val="2"/>
        <scheme val="minor"/>
      </rPr>
      <t xml:space="preserve">
- Hablar con eficacia  
- Saber escuchar
- Saber cómo comunicarse oralmente
- Saber cómo vender
- Mostrar empatía
- Negociar
- Manejar sus emociones
- Trabajar en equipo
- Hacer presentaciones
</t>
    </r>
  </si>
  <si>
    <t xml:space="preserve"> - Soñar y tener una visión
- Ser curioso 
- Creer en Si mismo y tener confianza en si mismo 
- Demostrar ingenio en la acción 
- Demostrar un espíritu creativo 
- Auto-motivación 
- Tomar riesgos 
- Tomar decisiones
- Demostrar determinación, perseverancia
- Aprender de los errores, los fracasos y las experiencias.
- Escuchar
- Saber cuestionarse a sí mismo
- Adaptarse a diversas situaciones
- Manejar el estrés
- Conocerse a si mismo de manera realista
- Pidir ayuda y consejo 
- Creer en su proyecto 
- Analizar 
- Evaluar
</t>
  </si>
  <si>
    <t xml:space="preserve">SOÑAR </t>
  </si>
  <si>
    <t xml:space="preserve">Instrumento diagnóstico iniciativa de emprendimiento
Instrumento diagnóstico de competencias emprendedor
Red de Emprendedores / Red Egresados / Comunidad Universitaria
Videos (casos, tips, cápsulas, testimosnios) 
Contenidos para redes sociales y comunidades
Plataforma experimentación e innovación UAO
</t>
  </si>
  <si>
    <t xml:space="preserve">Conferencias de empresarios/emprendedores/experto
Presentación de convocatorias y concursos del ecosistema
Taller “Ser Emprendedor” 
Conferencias en tendencias de mercado/tecnología
Socialización de resultados de investigación aplicada
Taller “Competencias y contextos para emprender”
Taller para descubimiento/ideación
</t>
  </si>
  <si>
    <t xml:space="preserve">Perfilamiento de la iniciativa de emprendimiento
Perfilamiento de las competencias emprendedor
Coaching para emprendedores (Individual – Grupal)
Codesarrollo
</t>
  </si>
  <si>
    <t xml:space="preserve">Generar procesos para el desarrollo de una Cultura en Emprendimiento e Innovación.
Apoyar al emprendedor a identificar su perfil.
Identificar perfil y la etapa de desarrollo del proyecto de emprendimiento: soñar, pensar, testear, arrancar.
Apoyar al emprendedor a identificar su sueño en función del perfil potencial de su emprendimiento o idea. 
</t>
  </si>
  <si>
    <t xml:space="preserve">Facilitar la apropiación tecnológica para el emprendimiento y la innovación.
Apoyar al emprendedor a estructurar su modelo de negocios. 
Apoyar al emprendedor a evaluar integralmente su proyecto de emprendimiento.
</t>
  </si>
  <si>
    <t xml:space="preserve">TESTEAR </t>
  </si>
  <si>
    <t xml:space="preserve">Fortalecer procesos de experimentación/prototipado para el emprendimiento y la innovación.
Apoyar al emprendedor a testear el mercado y definir su segmento de clientes – validación de hipótesis.
Apoyar la estructuración del plan de negocios desde un enfoque de innovación.
Apoyar al emprendedor a desarrollar una estrategia de creación de empresa.
</t>
  </si>
  <si>
    <t xml:space="preserve">Facilitar interacción de los emprendedores con el ecosistema regional y nacional de innovación y emprendimiento.
Apoyar al emprendedor a establecer una estructura financiera y los estados financieros de la empresa.
Apoyar al emprendedor a crear su empresa. 
Apoyar al emprendedor a fortalecer sus competencias comerciales para el arranque de su empresa.
</t>
  </si>
  <si>
    <t xml:space="preserve">PENSAR </t>
  </si>
  <si>
    <t xml:space="preserve">Acompañamiento con Expertos (Individual – Grupal)
Coaching para emprendedores (Individual – Grupal)
Codesarrollo
</t>
  </si>
  <si>
    <t xml:space="preserve">Conferencias de empresarios/emprendedores/experto
Presentación de convocatorias y concursos del ecosistema
Taller “Generando mi primer Modelo de Negocios”
Taller “Creatividad e Innovación”
Conferencias en tendencias de mercado/tecnología
Socialización de resultados de investigación aplicada
Taller “Validando mi modelo y proyecto de negocios”
Taller “Presentaciones Efectivas”
Taller “Creatividad e Innovación”
Taller “Liderazgo para la Innovación”
</t>
  </si>
  <si>
    <t xml:space="preserve">Matriz de análisis de factibilidad del proyecto
Matriz seguimiento a plan de acción emprendedor
Red de Emprendedores / Red Egresados / Comunidad Universitaria
Videos (casos, tips, cápsulas, testimosnios) 
Contenidos para redes sociales y comunidades
Plataforma experimentación e innovación UAO
</t>
  </si>
  <si>
    <t xml:space="preserve">Conferencias de empresarios/emprendedores/experto
Conferencias en tendencias de mercado/tecnología
Socialización de resultados de investigación aplicada
Presentación de convocatorias y concursos del ecosistema
Taller  BMG (2) – Test Concepto
Taller Gestión contable e impuestos 1
Taller de Prototipado
Taller Estrategia Financiera 1
Taller Planificación general y plan de negocios
Taller Derecho de negocios
Taller Estudio de Mercado
Taller Gestión de operaciones y recursos humanos
</t>
  </si>
  <si>
    <t xml:space="preserve">Matriz seguimiento a plan de acción emprendedor
Matrices y herramientas para plan de negocios y previsiones financieras
Red de Emprendedores / Red Egresados / Comunidad Universitaria
Plataforma experimentación e innovación UAO
Videos (casos, tips, cápsulas, testimosnios) 
Contenidos para redes sociales y comunidades
</t>
  </si>
  <si>
    <t xml:space="preserve">ARRANCAR </t>
  </si>
  <si>
    <t xml:space="preserve">Matriz seguimiento a plan de acción emprendedor
Estructura plan de arranque
Matrices y herramientas previsiones financieras
Red de Emprendedores / Red Egresados / Comunidad Universitaria
Plataforma experimentación e innovación UAO
Videos (casos, tips, cápsulas, testimosnios) 
Contenidos para redes sociales y comunidades
</t>
  </si>
  <si>
    <t xml:space="preserve">Conferencias de empresarios/emprendedores/experto
Conferencias en tendencias de mercado/tecnología
Socialización de resultados de investigación aplicada
Presentación de convocatorias y concursos del ecosistema
*Taller Técnicas de Ventas
Gestión de la propiedad intelectual
Taller Gestión contable e impuestos 2
Taller Marketing y comercio digital                                                                                     Plan de acción de arranque                                                                                                                                                                                       Taller Estrategia Financiera 2
</t>
  </si>
  <si>
    <r>
      <t>2.</t>
    </r>
    <r>
      <rPr>
        <b/>
        <sz val="14"/>
        <color rgb="FF7030A0"/>
        <rFont val="Times New Roman"/>
        <family val="1"/>
      </rPr>
      <t xml:space="preserve">     </t>
    </r>
    <r>
      <rPr>
        <b/>
        <sz val="14"/>
        <color rgb="FF7030A0"/>
        <rFont val="Arial"/>
        <family val="2"/>
      </rPr>
      <t>Clasificar sus habilidades como fuertes, medias o débiles.</t>
    </r>
  </si>
  <si>
    <t>Dividir en información de la empresa, con respuesta objetivo y fácil de responder, hay otra calificación que es sobre estado de avance de la empresa que no es fácil de responder y puede que la respuesta termine confundiendonos como centro, por ejemplo avance en validación, punto de equilibrio, y ventas, creo que este caso debe tener opciones nivel.                                                                                                                                                                                                                                                                                                                                                    Sobre el emprendedor, sus características, su habilidad y sus competencias, en este caso debe también medirse por niveles esta bien 
Las 22 características tiene algunos aspectos que están en este listado y otros que vale la pena incluirlos, finalmente estas características son el resultado de todo un trabajo de investigación a nivel nacional y regional.</t>
  </si>
  <si>
    <t>En la casilla Manejar el tiempo, se sugiere cambiar por Asignar el tiempo adecuado a cada actividad a desarrollar</t>
  </si>
  <si>
    <t>MENTOR CON IDEA DE NEGOCIO</t>
  </si>
  <si>
    <t xml:space="preserve">DOCENTE Y EMPRENDEDOR </t>
  </si>
  <si>
    <t>El formato para el desarrollo del perfil y siento que es adecuado, a mi me gusta la secuencia de preguntas y opciones, estas logran definir y delimitar esas características de los participantes, ademas me parece que permiten mantener una relacion informal con los chicos y que a medida que van desarrollando los pequeños test se autoreconocen.</t>
  </si>
  <si>
    <t xml:space="preserve">EMPRENDEDOR </t>
  </si>
  <si>
    <t xml:space="preserve">COMENTARIOS A TENER EN CUENTA </t>
  </si>
  <si>
    <t xml:space="preserve">El emprendedor no entendio estas preguntas, creo que se podrian ajustar los textos para que para ellos sea mas facil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</si>
</sst>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Arial"/>
      <family val="2"/>
    </font>
    <font>
      <sz val="10"/>
      <color rgb="FF4F6228"/>
      <name val="Arial"/>
      <family val="2"/>
    </font>
    <font>
      <b/>
      <sz val="10"/>
      <color theme="1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mbria"/>
      <family val="1"/>
    </font>
    <font>
      <b/>
      <sz val="9"/>
      <color rgb="FF000000"/>
      <name val="Arial"/>
      <family val="2"/>
    </font>
    <font>
      <sz val="9"/>
      <color rgb="FF000000"/>
      <name val="Calibri"/>
      <family val="2"/>
    </font>
    <font>
      <sz val="10"/>
      <color theme="1"/>
      <name val="Times New Roman"/>
      <family val="1"/>
    </font>
    <font>
      <b/>
      <sz val="12"/>
      <color rgb="FFFF000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b/>
      <sz val="9"/>
      <name val="Arial"/>
      <family val="2"/>
    </font>
    <font>
      <b/>
      <sz val="14"/>
      <color theme="1"/>
      <name val="Calibri"/>
      <family val="2"/>
      <scheme val="minor"/>
    </font>
    <font>
      <b/>
      <sz val="11"/>
      <name val="Arial"/>
      <family val="2"/>
    </font>
    <font>
      <b/>
      <sz val="16"/>
      <color rgb="FF000000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0"/>
      <name val="Arial"/>
      <family val="2"/>
    </font>
    <font>
      <b/>
      <sz val="14"/>
      <color rgb="FF7030A0"/>
      <name val="Arial"/>
      <family val="2"/>
    </font>
    <font>
      <b/>
      <sz val="14"/>
      <color rgb="FF7030A0"/>
      <name val="Times New Roman"/>
      <family val="1"/>
    </font>
    <font>
      <b/>
      <sz val="16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0"/>
      <color rgb="FF7030A0"/>
      <name val="Arial"/>
      <family val="2"/>
    </font>
    <font>
      <b/>
      <sz val="11"/>
      <color rgb="FF7030A0"/>
      <name val="Arial"/>
      <family val="2"/>
    </font>
    <font>
      <b/>
      <sz val="12"/>
      <color rgb="FF7030A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justify" vertical="center"/>
    </xf>
    <xf numFmtId="0" fontId="8" fillId="0" borderId="0" xfId="0" applyFont="1"/>
    <xf numFmtId="0" fontId="9" fillId="0" borderId="0" xfId="0" applyFont="1" applyAlignment="1">
      <alignment horizontal="left" vertical="center" indent="4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1" fillId="2" borderId="0" xfId="0" applyFont="1" applyFill="1"/>
    <xf numFmtId="0" fontId="11" fillId="2" borderId="0" xfId="0" applyFont="1" applyFill="1" applyAlignment="1">
      <alignment horizontal="right"/>
    </xf>
    <xf numFmtId="0" fontId="11" fillId="2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vertical="center"/>
    </xf>
    <xf numFmtId="0" fontId="23" fillId="0" borderId="3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3" fillId="0" borderId="1" xfId="0" applyFont="1" applyBorder="1" applyAlignment="1" applyProtection="1">
      <alignment wrapText="1"/>
      <protection locked="0"/>
    </xf>
    <xf numFmtId="0" fontId="20" fillId="3" borderId="0" xfId="0" applyFont="1" applyFill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6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0" fontId="27" fillId="3" borderId="11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7" fillId="3" borderId="15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29" fillId="0" borderId="17" xfId="0" applyFont="1" applyBorder="1" applyAlignment="1">
      <alignment vertical="center" wrapText="1"/>
    </xf>
    <xf numFmtId="0" fontId="10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31" fillId="3" borderId="1" xfId="0" applyFont="1" applyFill="1" applyBorder="1" applyAlignment="1">
      <alignment vertical="center"/>
    </xf>
    <xf numFmtId="0" fontId="0" fillId="0" borderId="0" xfId="0" applyProtection="1"/>
    <xf numFmtId="0" fontId="19" fillId="0" borderId="0" xfId="0" applyFont="1" applyAlignment="1" applyProtection="1">
      <alignment horizontal="left" vertical="top"/>
    </xf>
    <xf numFmtId="0" fontId="12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justify" vertical="top"/>
    </xf>
    <xf numFmtId="0" fontId="18" fillId="0" borderId="0" xfId="0" applyFont="1" applyAlignment="1" applyProtection="1">
      <alignment horizontal="center" vertical="center"/>
    </xf>
    <xf numFmtId="0" fontId="1" fillId="0" borderId="1" xfId="0" applyFont="1" applyBorder="1" applyAlignment="1" applyProtection="1">
      <alignment horizontal="justify" vertical="center"/>
    </xf>
    <xf numFmtId="0" fontId="13" fillId="0" borderId="0" xfId="0" applyFont="1" applyProtection="1"/>
    <xf numFmtId="0" fontId="14" fillId="0" borderId="0" xfId="0" applyFont="1" applyAlignment="1" applyProtection="1">
      <alignment horizontal="justify" vertical="center"/>
    </xf>
    <xf numFmtId="0" fontId="1" fillId="0" borderId="0" xfId="0" applyFont="1" applyBorder="1" applyAlignment="1" applyProtection="1">
      <alignment horizontal="justify" vertical="center"/>
    </xf>
    <xf numFmtId="0" fontId="15" fillId="0" borderId="0" xfId="0" applyFont="1" applyBorder="1" applyAlignment="1" applyProtection="1">
      <alignment horizontal="justify" vertical="center"/>
    </xf>
    <xf numFmtId="0" fontId="4" fillId="0" borderId="0" xfId="0" applyFont="1" applyAlignment="1" applyProtection="1">
      <alignment horizontal="justify" vertical="center"/>
    </xf>
    <xf numFmtId="0" fontId="8" fillId="0" borderId="0" xfId="0" applyFont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justify" vertical="center"/>
    </xf>
    <xf numFmtId="0" fontId="10" fillId="0" borderId="1" xfId="0" applyFont="1" applyBorder="1" applyAlignment="1" applyProtection="1">
      <alignment horizontal="justify" vertical="center"/>
    </xf>
    <xf numFmtId="0" fontId="16" fillId="0" borderId="0" xfId="0" applyFont="1" applyAlignment="1" applyProtection="1">
      <alignment horizontal="justify" vertical="center" wrapText="1"/>
    </xf>
    <xf numFmtId="0" fontId="8" fillId="0" borderId="0" xfId="0" applyFont="1" applyAlignment="1" applyProtection="1">
      <alignment horizontal="justify" vertical="center"/>
    </xf>
    <xf numFmtId="0" fontId="8" fillId="0" borderId="0" xfId="0" applyFont="1" applyAlignment="1" applyProtection="1">
      <alignment horizontal="justify" vertical="center" wrapText="1"/>
    </xf>
    <xf numFmtId="0" fontId="4" fillId="0" borderId="0" xfId="0" applyFont="1" applyAlignment="1" applyProtection="1">
      <alignment horizontal="center" vertical="center"/>
    </xf>
    <xf numFmtId="0" fontId="14" fillId="0" borderId="0" xfId="0" applyFont="1" applyBorder="1" applyAlignment="1" applyProtection="1">
      <alignment horizontal="justify" vertical="center"/>
    </xf>
    <xf numFmtId="0" fontId="24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26" fillId="4" borderId="1" xfId="0" applyFont="1" applyFill="1" applyBorder="1" applyAlignment="1">
      <alignment horizontal="center" vertical="center" wrapText="1"/>
    </xf>
    <xf numFmtId="0" fontId="29" fillId="4" borderId="1" xfId="0" applyFont="1" applyFill="1" applyBorder="1" applyAlignment="1">
      <alignment vertical="center" wrapText="1"/>
    </xf>
    <xf numFmtId="0" fontId="0" fillId="0" borderId="0" xfId="0" applyFont="1" applyAlignment="1">
      <alignment horizontal="left" vertical="center" indent="4"/>
    </xf>
    <xf numFmtId="0" fontId="0" fillId="0" borderId="0" xfId="0" applyFont="1" applyAlignment="1">
      <alignment vertical="center" wrapText="1"/>
    </xf>
    <xf numFmtId="0" fontId="34" fillId="0" borderId="0" xfId="0" applyFont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37" fillId="0" borderId="0" xfId="0" applyFont="1" applyBorder="1" applyAlignment="1">
      <alignment horizontal="justify" vertical="center" wrapText="1"/>
    </xf>
    <xf numFmtId="0" fontId="38" fillId="0" borderId="0" xfId="0" applyFont="1"/>
    <xf numFmtId="0" fontId="36" fillId="0" borderId="1" xfId="0" applyFont="1" applyBorder="1" applyAlignment="1">
      <alignment horizontal="center" vertical="center"/>
    </xf>
    <xf numFmtId="0" fontId="28" fillId="0" borderId="12" xfId="0" quotePrefix="1" applyFont="1" applyBorder="1" applyAlignment="1">
      <alignment horizontal="left" vertical="center" wrapText="1"/>
    </xf>
    <xf numFmtId="0" fontId="28" fillId="0" borderId="16" xfId="0" quotePrefix="1" applyFont="1" applyBorder="1" applyAlignment="1">
      <alignment wrapText="1"/>
    </xf>
    <xf numFmtId="0" fontId="39" fillId="0" borderId="3" xfId="0" applyFont="1" applyBorder="1" applyAlignment="1">
      <alignment horizontal="center" vertical="center"/>
    </xf>
    <xf numFmtId="0" fontId="28" fillId="0" borderId="19" xfId="0" quotePrefix="1" applyFont="1" applyBorder="1" applyAlignment="1">
      <alignment wrapText="1"/>
    </xf>
    <xf numFmtId="0" fontId="28" fillId="0" borderId="12" xfId="0" quotePrefix="1" applyFont="1" applyBorder="1" applyAlignment="1">
      <alignment horizontal="left" vertical="top" wrapText="1"/>
    </xf>
    <xf numFmtId="0" fontId="0" fillId="0" borderId="16" xfId="0" quotePrefix="1" applyBorder="1" applyAlignment="1">
      <alignment vertical="top" wrapText="1"/>
    </xf>
    <xf numFmtId="0" fontId="33" fillId="0" borderId="12" xfId="0" quotePrefix="1" applyFont="1" applyBorder="1" applyAlignment="1">
      <alignment vertical="top" wrapText="1"/>
    </xf>
    <xf numFmtId="0" fontId="28" fillId="0" borderId="16" xfId="0" quotePrefix="1" applyFont="1" applyBorder="1" applyAlignment="1">
      <alignment vertical="top" wrapText="1"/>
    </xf>
    <xf numFmtId="0" fontId="36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top"/>
    </xf>
    <xf numFmtId="0" fontId="42" fillId="5" borderId="1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 indent="4"/>
    </xf>
    <xf numFmtId="0" fontId="44" fillId="0" borderId="0" xfId="0" applyFont="1" applyAlignment="1">
      <alignment horizontal="center" vertical="center" wrapText="1"/>
    </xf>
    <xf numFmtId="0" fontId="45" fillId="5" borderId="1" xfId="0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>
      <alignment horizontal="center"/>
    </xf>
    <xf numFmtId="0" fontId="26" fillId="0" borderId="1" xfId="0" applyFont="1" applyBorder="1" applyAlignment="1" applyProtection="1">
      <alignment horizontal="left" vertical="center"/>
    </xf>
    <xf numFmtId="0" fontId="14" fillId="0" borderId="1" xfId="0" applyFont="1" applyBorder="1" applyAlignment="1" applyProtection="1">
      <alignment horizontal="left" vertical="center"/>
    </xf>
    <xf numFmtId="0" fontId="0" fillId="0" borderId="18" xfId="0" applyBorder="1" applyAlignment="1">
      <alignment horizontal="justify" vertical="justify"/>
    </xf>
    <xf numFmtId="0" fontId="0" fillId="0" borderId="0" xfId="0" applyAlignment="1">
      <alignment horizontal="justify" vertical="justify"/>
    </xf>
    <xf numFmtId="0" fontId="2" fillId="0" borderId="1" xfId="0" applyFont="1" applyBorder="1" applyAlignment="1">
      <alignment horizontal="left" vertical="center"/>
    </xf>
    <xf numFmtId="0" fontId="26" fillId="0" borderId="2" xfId="0" applyFont="1" applyBorder="1" applyAlignment="1" applyProtection="1">
      <alignment horizontal="center" vertical="center"/>
    </xf>
    <xf numFmtId="0" fontId="26" fillId="0" borderId="20" xfId="0" applyFont="1" applyBorder="1" applyAlignment="1" applyProtection="1">
      <alignment horizontal="center" vertical="center"/>
    </xf>
    <xf numFmtId="0" fontId="26" fillId="0" borderId="23" xfId="0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left" vertical="center"/>
    </xf>
    <xf numFmtId="0" fontId="1" fillId="0" borderId="1" xfId="0" applyFont="1" applyBorder="1" applyAlignment="1" applyProtection="1">
      <alignment horizontal="left" vertical="center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justify" vertical="justify"/>
    </xf>
    <xf numFmtId="0" fontId="2" fillId="0" borderId="1" xfId="0" applyFont="1" applyBorder="1" applyAlignment="1">
      <alignment horizontal="center"/>
    </xf>
    <xf numFmtId="0" fontId="42" fillId="5" borderId="21" xfId="0" applyFont="1" applyFill="1" applyBorder="1" applyAlignment="1">
      <alignment horizontal="center" vertical="center"/>
    </xf>
    <xf numFmtId="0" fontId="42" fillId="5" borderId="22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top" wrapText="1"/>
    </xf>
    <xf numFmtId="0" fontId="28" fillId="0" borderId="22" xfId="0" applyFont="1" applyBorder="1" applyAlignment="1">
      <alignment horizontal="center" vertical="top" wrapText="1"/>
    </xf>
    <xf numFmtId="0" fontId="45" fillId="0" borderId="0" xfId="0" applyFont="1" applyAlignment="1" applyProtection="1">
      <alignment horizontal="center" vertical="center"/>
    </xf>
    <xf numFmtId="0" fontId="13" fillId="0" borderId="0" xfId="0" applyFont="1" applyBorder="1" applyProtection="1"/>
    <xf numFmtId="0" fontId="46" fillId="0" borderId="0" xfId="0" applyFont="1" applyAlignment="1" applyProtection="1">
      <alignment horizontal="center" vertical="center" wrapText="1"/>
    </xf>
    <xf numFmtId="0" fontId="22" fillId="0" borderId="0" xfId="0" applyFont="1" applyAlignment="1" applyProtection="1">
      <alignment horizontal="left" vertical="center" wrapText="1"/>
    </xf>
    <xf numFmtId="0" fontId="4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1. Etap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 Resultado Etapa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2. Competenci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lasific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Liste Competence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lan de acc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4</xdr:col>
      <xdr:colOff>152400</xdr:colOff>
      <xdr:row>21</xdr:row>
      <xdr:rowOff>171450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6050" y="19050"/>
          <a:ext cx="6699250" cy="4889500"/>
        </a:xfrm>
        <a:custGeom>
          <a:avLst/>
          <a:gdLst/>
          <a:ahLst/>
          <a:cxnLst/>
          <a:rect l="l" t="t" r="r" b="b"/>
          <a:pathLst>
            <a:path w="4700905" h="4700905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230428"/>
              </a:lnTo>
              <a:lnTo>
                <a:pt x="4129862" y="230428"/>
              </a:lnTo>
              <a:lnTo>
                <a:pt x="4575784" y="0"/>
              </a:lnTo>
              <a:close/>
            </a:path>
            <a:path w="4700905" h="4700905">
              <a:moveTo>
                <a:pt x="4700739" y="126530"/>
              </a:moveTo>
              <a:lnTo>
                <a:pt x="4476076" y="242595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chemeClr val="bg1">
            <a:lumMod val="65000"/>
          </a:schemeClr>
        </a:solidFill>
      </xdr:spPr>
      <xdr:txBody>
        <a:bodyPr wrap="square" lIns="0" tIns="0" rIns="0" bIns="0" rtlCol="0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635000</xdr:colOff>
      <xdr:row>14</xdr:row>
      <xdr:rowOff>31750</xdr:rowOff>
    </xdr:from>
    <xdr:to>
      <xdr:col>2</xdr:col>
      <xdr:colOff>2197100</xdr:colOff>
      <xdr:row>15</xdr:row>
      <xdr:rowOff>101600</xdr:rowOff>
    </xdr:to>
    <xdr:sp macro="" textlink="">
      <xdr:nvSpPr>
        <xdr:cNvPr id="5" name="ZoneText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098550" y="4032250"/>
          <a:ext cx="15621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scene3d>
          <a:camera prst="orthographicFront"/>
          <a:lightRig rig="threePt" dir="t"/>
        </a:scene3d>
        <a:sp3d extrusionH="76200" contourW="12700">
          <a:bevelT w="152400" h="50800" prst="softRound"/>
          <a:extrusionClr>
            <a:srgbClr val="FF0000"/>
          </a:extrusionClr>
          <a:contourClr>
            <a:srgbClr val="FF00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1400" b="1">
              <a:solidFill>
                <a:srgbClr val="FF0000"/>
              </a:solidFill>
            </a:rPr>
            <a:t>COMENZAR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5016500</xdr:colOff>
      <xdr:row>44</xdr:row>
      <xdr:rowOff>95250</xdr:rowOff>
    </xdr:from>
    <xdr:to>
      <xdr:col>6</xdr:col>
      <xdr:colOff>44450</xdr:colOff>
      <xdr:row>45</xdr:row>
      <xdr:rowOff>127000</xdr:rowOff>
    </xdr:to>
    <xdr:sp macro="" textlink="">
      <xdr:nvSpPr>
        <xdr:cNvPr id="2" name="ZoneText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829300" y="11779250"/>
          <a:ext cx="1778000" cy="2159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scene3d>
          <a:camera prst="orthographicFront"/>
          <a:lightRig rig="threePt" dir="t"/>
        </a:scene3d>
        <a:sp3d extrusionH="76200" contourW="12700">
          <a:bevelT w="152400" h="50800" prst="softRound"/>
          <a:extrusionClr>
            <a:srgbClr val="FF0000"/>
          </a:extrusionClr>
          <a:contourClr>
            <a:srgbClr val="FF00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1400" b="1">
              <a:solidFill>
                <a:srgbClr val="FF0000"/>
              </a:solidFill>
            </a:rPr>
            <a:t>RESULTADO</a:t>
          </a:r>
          <a:r>
            <a:rPr lang="fr-CA" sz="1400" b="1" baseline="0">
              <a:solidFill>
                <a:srgbClr val="FF0000"/>
              </a:solidFill>
            </a:rPr>
            <a:t> </a:t>
          </a:r>
          <a:r>
            <a:rPr lang="fr-CA" sz="1400" b="1">
              <a:solidFill>
                <a:srgbClr val="FF0000"/>
              </a:solidFill>
            </a:rPr>
            <a:t>ETAPA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0</xdr:colOff>
      <xdr:row>51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0" y="0"/>
          <a:ext cx="7800975" cy="13239750"/>
          <a:chOff x="0" y="0"/>
          <a:chExt cx="8172450" cy="12973050"/>
        </a:xfrm>
      </xdr:grpSpPr>
      <xdr:sp macro="" textlink="">
        <xdr:nvSpPr>
          <xdr:cNvPr id="7" name="object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0" y="0"/>
            <a:ext cx="8172180" cy="12972597"/>
          </a:xfrm>
          <a:custGeom>
            <a:avLst/>
            <a:gdLst>
              <a:gd name="connsiteX0" fmla="*/ 4575784 w 4700739"/>
              <a:gd name="connsiteY0" fmla="*/ 0 h 4700739"/>
              <a:gd name="connsiteX1" fmla="*/ 0 w 4700739"/>
              <a:gd name="connsiteY1" fmla="*/ 0 h 4700739"/>
              <a:gd name="connsiteX2" fmla="*/ 0 w 4700739"/>
              <a:gd name="connsiteY2" fmla="*/ 4700739 h 4700739"/>
              <a:gd name="connsiteX3" fmla="*/ 4700739 w 4700739"/>
              <a:gd name="connsiteY3" fmla="*/ 4700739 h 4700739"/>
              <a:gd name="connsiteX4" fmla="*/ 4700739 w 4700739"/>
              <a:gd name="connsiteY4" fmla="*/ 4481830 h 4700739"/>
              <a:gd name="connsiteX5" fmla="*/ 224662 w 4700739"/>
              <a:gd name="connsiteY5" fmla="*/ 4481830 h 4700739"/>
              <a:gd name="connsiteX6" fmla="*/ 224662 w 4700739"/>
              <a:gd name="connsiteY6" fmla="*/ 114011 h 4700739"/>
              <a:gd name="connsiteX7" fmla="*/ 4129862 w 4700739"/>
              <a:gd name="connsiteY7" fmla="*/ 230428 h 4700739"/>
              <a:gd name="connsiteX8" fmla="*/ 4575784 w 4700739"/>
              <a:gd name="connsiteY8" fmla="*/ 0 h 4700739"/>
              <a:gd name="connsiteX0" fmla="*/ 4700739 w 4700739"/>
              <a:gd name="connsiteY0" fmla="*/ 126530 h 4700739"/>
              <a:gd name="connsiteX1" fmla="*/ 4476076 w 4700739"/>
              <a:gd name="connsiteY1" fmla="*/ 242595 h 4700739"/>
              <a:gd name="connsiteX2" fmla="*/ 4476076 w 4700739"/>
              <a:gd name="connsiteY2" fmla="*/ 4481830 h 4700739"/>
              <a:gd name="connsiteX3" fmla="*/ 4700739 w 4700739"/>
              <a:gd name="connsiteY3" fmla="*/ 4481830 h 4700739"/>
              <a:gd name="connsiteX4" fmla="*/ 4700739 w 4700739"/>
              <a:gd name="connsiteY4" fmla="*/ 126530 h 4700739"/>
              <a:gd name="connsiteX0" fmla="*/ 4575784 w 4700739"/>
              <a:gd name="connsiteY0" fmla="*/ 0 h 4700739"/>
              <a:gd name="connsiteX1" fmla="*/ 0 w 4700739"/>
              <a:gd name="connsiteY1" fmla="*/ 0 h 4700739"/>
              <a:gd name="connsiteX2" fmla="*/ 0 w 4700739"/>
              <a:gd name="connsiteY2" fmla="*/ 4700739 h 4700739"/>
              <a:gd name="connsiteX3" fmla="*/ 4700739 w 4700739"/>
              <a:gd name="connsiteY3" fmla="*/ 4700739 h 4700739"/>
              <a:gd name="connsiteX4" fmla="*/ 4700739 w 4700739"/>
              <a:gd name="connsiteY4" fmla="*/ 4481830 h 4700739"/>
              <a:gd name="connsiteX5" fmla="*/ 224662 w 4700739"/>
              <a:gd name="connsiteY5" fmla="*/ 4481830 h 4700739"/>
              <a:gd name="connsiteX6" fmla="*/ 224662 w 4700739"/>
              <a:gd name="connsiteY6" fmla="*/ 114011 h 4700739"/>
              <a:gd name="connsiteX7" fmla="*/ 4149368 w 4700739"/>
              <a:gd name="connsiteY7" fmla="*/ 127981 h 4700739"/>
              <a:gd name="connsiteX8" fmla="*/ 4575784 w 4700739"/>
              <a:gd name="connsiteY8" fmla="*/ 0 h 4700739"/>
              <a:gd name="connsiteX0" fmla="*/ 4700739 w 4700739"/>
              <a:gd name="connsiteY0" fmla="*/ 126530 h 4700739"/>
              <a:gd name="connsiteX1" fmla="*/ 4476076 w 4700739"/>
              <a:gd name="connsiteY1" fmla="*/ 242595 h 4700739"/>
              <a:gd name="connsiteX2" fmla="*/ 4476076 w 4700739"/>
              <a:gd name="connsiteY2" fmla="*/ 4481830 h 4700739"/>
              <a:gd name="connsiteX3" fmla="*/ 4700739 w 4700739"/>
              <a:gd name="connsiteY3" fmla="*/ 4481830 h 4700739"/>
              <a:gd name="connsiteX4" fmla="*/ 4700739 w 4700739"/>
              <a:gd name="connsiteY4" fmla="*/ 126530 h 4700739"/>
              <a:gd name="connsiteX0" fmla="*/ 4575784 w 4700739"/>
              <a:gd name="connsiteY0" fmla="*/ 0 h 4700739"/>
              <a:gd name="connsiteX1" fmla="*/ 0 w 4700739"/>
              <a:gd name="connsiteY1" fmla="*/ 0 h 4700739"/>
              <a:gd name="connsiteX2" fmla="*/ 0 w 4700739"/>
              <a:gd name="connsiteY2" fmla="*/ 4700739 h 4700739"/>
              <a:gd name="connsiteX3" fmla="*/ 4700739 w 4700739"/>
              <a:gd name="connsiteY3" fmla="*/ 4700739 h 4700739"/>
              <a:gd name="connsiteX4" fmla="*/ 4700739 w 4700739"/>
              <a:gd name="connsiteY4" fmla="*/ 4481830 h 4700739"/>
              <a:gd name="connsiteX5" fmla="*/ 224662 w 4700739"/>
              <a:gd name="connsiteY5" fmla="*/ 4481830 h 4700739"/>
              <a:gd name="connsiteX6" fmla="*/ 224662 w 4700739"/>
              <a:gd name="connsiteY6" fmla="*/ 114011 h 4700739"/>
              <a:gd name="connsiteX7" fmla="*/ 4149368 w 4700739"/>
              <a:gd name="connsiteY7" fmla="*/ 127981 h 4700739"/>
              <a:gd name="connsiteX8" fmla="*/ 4575784 w 4700739"/>
              <a:gd name="connsiteY8" fmla="*/ 0 h 4700739"/>
              <a:gd name="connsiteX0" fmla="*/ 4700739 w 4700739"/>
              <a:gd name="connsiteY0" fmla="*/ 126530 h 4700739"/>
              <a:gd name="connsiteX1" fmla="*/ 4476076 w 4700739"/>
              <a:gd name="connsiteY1" fmla="*/ 196028 h 4700739"/>
              <a:gd name="connsiteX2" fmla="*/ 4476076 w 4700739"/>
              <a:gd name="connsiteY2" fmla="*/ 4481830 h 4700739"/>
              <a:gd name="connsiteX3" fmla="*/ 4700739 w 4700739"/>
              <a:gd name="connsiteY3" fmla="*/ 4481830 h 4700739"/>
              <a:gd name="connsiteX4" fmla="*/ 4700739 w 4700739"/>
              <a:gd name="connsiteY4" fmla="*/ 126530 h 4700739"/>
              <a:gd name="connsiteX0" fmla="*/ 4575784 w 4700739"/>
              <a:gd name="connsiteY0" fmla="*/ 0 h 4700739"/>
              <a:gd name="connsiteX1" fmla="*/ 0 w 4700739"/>
              <a:gd name="connsiteY1" fmla="*/ 0 h 4700739"/>
              <a:gd name="connsiteX2" fmla="*/ 0 w 4700739"/>
              <a:gd name="connsiteY2" fmla="*/ 4700739 h 4700739"/>
              <a:gd name="connsiteX3" fmla="*/ 4700739 w 4700739"/>
              <a:gd name="connsiteY3" fmla="*/ 4700739 h 4700739"/>
              <a:gd name="connsiteX4" fmla="*/ 4700739 w 4700739"/>
              <a:gd name="connsiteY4" fmla="*/ 4481830 h 4700739"/>
              <a:gd name="connsiteX5" fmla="*/ 224662 w 4700739"/>
              <a:gd name="connsiteY5" fmla="*/ 4481830 h 4700739"/>
              <a:gd name="connsiteX6" fmla="*/ 224662 w 4700739"/>
              <a:gd name="connsiteY6" fmla="*/ 114011 h 4700739"/>
              <a:gd name="connsiteX7" fmla="*/ 4305415 w 4700739"/>
              <a:gd name="connsiteY7" fmla="*/ 130309 h 4700739"/>
              <a:gd name="connsiteX8" fmla="*/ 4575784 w 4700739"/>
              <a:gd name="connsiteY8" fmla="*/ 0 h 4700739"/>
              <a:gd name="connsiteX0" fmla="*/ 4700739 w 4700739"/>
              <a:gd name="connsiteY0" fmla="*/ 126530 h 4700739"/>
              <a:gd name="connsiteX1" fmla="*/ 4476076 w 4700739"/>
              <a:gd name="connsiteY1" fmla="*/ 196028 h 4700739"/>
              <a:gd name="connsiteX2" fmla="*/ 4476076 w 4700739"/>
              <a:gd name="connsiteY2" fmla="*/ 4481830 h 4700739"/>
              <a:gd name="connsiteX3" fmla="*/ 4700739 w 4700739"/>
              <a:gd name="connsiteY3" fmla="*/ 4481830 h 4700739"/>
              <a:gd name="connsiteX4" fmla="*/ 4700739 w 4700739"/>
              <a:gd name="connsiteY4" fmla="*/ 126530 h 47007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700739" h="4700739">
                <a:moveTo>
                  <a:pt x="4575784" y="0"/>
                </a:moveTo>
                <a:lnTo>
                  <a:pt x="0" y="0"/>
                </a:lnTo>
                <a:lnTo>
                  <a:pt x="0" y="4700739"/>
                </a:lnTo>
                <a:lnTo>
                  <a:pt x="4700739" y="4700739"/>
                </a:lnTo>
                <a:lnTo>
                  <a:pt x="4700739" y="4481830"/>
                </a:lnTo>
                <a:lnTo>
                  <a:pt x="224662" y="4481830"/>
                </a:lnTo>
                <a:lnTo>
                  <a:pt x="224662" y="114011"/>
                </a:lnTo>
                <a:lnTo>
                  <a:pt x="4305415" y="130309"/>
                </a:lnTo>
                <a:lnTo>
                  <a:pt x="4575784" y="0"/>
                </a:lnTo>
                <a:close/>
              </a:path>
              <a:path w="4700739" h="4700739">
                <a:moveTo>
                  <a:pt x="4700739" y="126530"/>
                </a:moveTo>
                <a:lnTo>
                  <a:pt x="4476076" y="196028"/>
                </a:lnTo>
                <a:lnTo>
                  <a:pt x="4476076" y="4481830"/>
                </a:lnTo>
                <a:lnTo>
                  <a:pt x="4700739" y="4481830"/>
                </a:lnTo>
                <a:lnTo>
                  <a:pt x="4700739" y="126530"/>
                </a:lnTo>
                <a:close/>
              </a:path>
            </a:pathLst>
          </a:custGeom>
          <a:solidFill>
            <a:schemeClr val="bg1">
              <a:lumMod val="65000"/>
            </a:schemeClr>
          </a:solidFill>
        </xdr:spPr>
        <xdr:txBody>
          <a:bodyPr wrap="square" lIns="0" tIns="0" rIns="0" bIns="0" rtlCol="0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0" y="12744450"/>
            <a:ext cx="8172450" cy="2286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fr-CA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920750</xdr:colOff>
      <xdr:row>17</xdr:row>
      <xdr:rowOff>44450</xdr:rowOff>
    </xdr:from>
    <xdr:to>
      <xdr:col>2</xdr:col>
      <xdr:colOff>2482850</xdr:colOff>
      <xdr:row>18</xdr:row>
      <xdr:rowOff>101600</xdr:rowOff>
    </xdr:to>
    <xdr:sp macro="" textlink="">
      <xdr:nvSpPr>
        <xdr:cNvPr id="3" name="ZoneText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828800" y="8058150"/>
          <a:ext cx="1562100" cy="2413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scene3d>
          <a:camera prst="orthographicFront"/>
          <a:lightRig rig="threePt" dir="t"/>
        </a:scene3d>
        <a:sp3d extrusionH="76200" contourW="12700">
          <a:bevelT w="152400" h="50800" prst="softRound"/>
          <a:extrusionClr>
            <a:srgbClr val="FF0000"/>
          </a:extrusionClr>
          <a:contourClr>
            <a:srgbClr val="FF00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1400" b="1">
              <a:solidFill>
                <a:srgbClr val="FF0000"/>
              </a:solidFill>
            </a:rPr>
            <a:t>CONTINUAR</a:t>
          </a:r>
        </a:p>
      </xdr:txBody>
    </xdr:sp>
    <xdr:clientData/>
  </xdr:twoCellAnchor>
  <xdr:twoCellAnchor>
    <xdr:from>
      <xdr:col>0</xdr:col>
      <xdr:colOff>0</xdr:colOff>
      <xdr:row>0</xdr:row>
      <xdr:rowOff>6351</xdr:rowOff>
    </xdr:from>
    <xdr:to>
      <xdr:col>4</xdr:col>
      <xdr:colOff>63500</xdr:colOff>
      <xdr:row>3</xdr:row>
      <xdr:rowOff>1803400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6351"/>
          <a:ext cx="5467350" cy="4743449"/>
        </a:xfrm>
        <a:custGeom>
          <a:avLst/>
          <a:gdLst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29862 w 4700739"/>
            <a:gd name="connsiteY7" fmla="*/ 230428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242595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49368 w 4700739"/>
            <a:gd name="connsiteY7" fmla="*/ 127981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242595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49368 w 4700739"/>
            <a:gd name="connsiteY7" fmla="*/ 127981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305415 w 4700739"/>
            <a:gd name="connsiteY7" fmla="*/ 130309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83232 h 4700739"/>
            <a:gd name="connsiteX7" fmla="*/ 4305415 w 4700739"/>
            <a:gd name="connsiteY7" fmla="*/ 130309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83232 h 4700739"/>
            <a:gd name="connsiteX7" fmla="*/ 4316135 w 4700739"/>
            <a:gd name="connsiteY7" fmla="*/ 205823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700739" h="4700739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183232"/>
              </a:lnTo>
              <a:lnTo>
                <a:pt x="4316135" y="205823"/>
              </a:lnTo>
              <a:lnTo>
                <a:pt x="4575784" y="0"/>
              </a:lnTo>
              <a:close/>
            </a:path>
            <a:path w="4700739" h="4700739">
              <a:moveTo>
                <a:pt x="4700739" y="126530"/>
              </a:moveTo>
              <a:lnTo>
                <a:pt x="4476076" y="196028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chemeClr val="tx2">
            <a:lumMod val="60000"/>
            <a:lumOff val="40000"/>
          </a:schemeClr>
        </a:solidFill>
      </xdr:spPr>
      <xdr:txBody>
        <a:bodyPr wrap="square" lIns="0" tIns="0" rIns="0" bIns="0" rtlCol="0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 editAs="oneCell">
    <xdr:from>
      <xdr:col>0</xdr:col>
      <xdr:colOff>0</xdr:colOff>
      <xdr:row>1</xdr:row>
      <xdr:rowOff>38097</xdr:rowOff>
    </xdr:from>
    <xdr:to>
      <xdr:col>4</xdr:col>
      <xdr:colOff>0</xdr:colOff>
      <xdr:row>2</xdr:row>
      <xdr:rowOff>3668755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DCCE706-EFC0-42EA-A4A2-D0E175011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8597"/>
          <a:ext cx="5314950" cy="3821158"/>
        </a:xfrm>
        <a:prstGeom prst="rect">
          <a:avLst/>
        </a:prstGeom>
      </xdr:spPr>
    </xdr:pic>
    <xdr:clientData/>
  </xdr:twoCellAnchor>
  <xdr:oneCellAnchor>
    <xdr:from>
      <xdr:col>0</xdr:col>
      <xdr:colOff>152400</xdr:colOff>
      <xdr:row>0</xdr:row>
      <xdr:rowOff>190497</xdr:rowOff>
    </xdr:from>
    <xdr:ext cx="1724025" cy="552453"/>
    <xdr:pic>
      <xdr:nvPicPr>
        <xdr:cNvPr id="5" name="image1.png" title="Imagen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2400" y="190497"/>
          <a:ext cx="1724025" cy="552453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1905000</xdr:colOff>
      <xdr:row>8</xdr:row>
      <xdr:rowOff>0</xdr:rowOff>
    </xdr:from>
    <xdr:to>
      <xdr:col>1</xdr:col>
      <xdr:colOff>3467100</xdr:colOff>
      <xdr:row>9</xdr:row>
      <xdr:rowOff>57150</xdr:rowOff>
    </xdr:to>
    <xdr:sp macro="" textlink="">
      <xdr:nvSpPr>
        <xdr:cNvPr id="3" name="ZoneText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127250" y="4965700"/>
          <a:ext cx="15621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scene3d>
          <a:camera prst="orthographicFront"/>
          <a:lightRig rig="threePt" dir="t"/>
        </a:scene3d>
        <a:sp3d extrusionH="76200" contourW="12700">
          <a:bevelT w="152400" h="50800" prst="softRound"/>
          <a:extrusionClr>
            <a:srgbClr val="FF0000"/>
          </a:extrusionClr>
          <a:contourClr>
            <a:srgbClr val="FF00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1400" b="1">
              <a:solidFill>
                <a:srgbClr val="FF0000"/>
              </a:solidFill>
            </a:rPr>
            <a:t>CONTINUAR</a:t>
          </a:r>
        </a:p>
      </xdr:txBody>
    </xdr:sp>
    <xdr:clientData/>
  </xdr:twoCellAnchor>
  <xdr:twoCellAnchor>
    <xdr:from>
      <xdr:col>0</xdr:col>
      <xdr:colOff>19050</xdr:colOff>
      <xdr:row>0</xdr:row>
      <xdr:rowOff>31955</xdr:rowOff>
    </xdr:from>
    <xdr:to>
      <xdr:col>3</xdr:col>
      <xdr:colOff>0</xdr:colOff>
      <xdr:row>12</xdr:row>
      <xdr:rowOff>0</xdr:rowOff>
    </xdr:to>
    <xdr:sp macro="" textlink="">
      <xdr:nvSpPr>
        <xdr:cNvPr id="6" name="object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9050" y="31955"/>
          <a:ext cx="7067550" cy="5606845"/>
        </a:xfrm>
        <a:custGeom>
          <a:avLst/>
          <a:gdLst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29862 w 4700739"/>
            <a:gd name="connsiteY7" fmla="*/ 230428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242595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49368 w 4700739"/>
            <a:gd name="connsiteY7" fmla="*/ 127981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242595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149368 w 4700739"/>
            <a:gd name="connsiteY7" fmla="*/ 127981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14011 h 4700739"/>
            <a:gd name="connsiteX7" fmla="*/ 4305415 w 4700739"/>
            <a:gd name="connsiteY7" fmla="*/ 130309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85237 h 4700739"/>
            <a:gd name="connsiteX7" fmla="*/ 4305415 w 4700739"/>
            <a:gd name="connsiteY7" fmla="*/ 130309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185237 h 4700739"/>
            <a:gd name="connsiteX7" fmla="*/ 4305415 w 4700739"/>
            <a:gd name="connsiteY7" fmla="*/ 181184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236112 h 4700739"/>
            <a:gd name="connsiteX7" fmla="*/ 4305415 w 4700739"/>
            <a:gd name="connsiteY7" fmla="*/ 181184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  <a:gd name="connsiteX0" fmla="*/ 4575784 w 4700739"/>
            <a:gd name="connsiteY0" fmla="*/ 0 h 4700739"/>
            <a:gd name="connsiteX1" fmla="*/ 0 w 4700739"/>
            <a:gd name="connsiteY1" fmla="*/ 0 h 4700739"/>
            <a:gd name="connsiteX2" fmla="*/ 0 w 4700739"/>
            <a:gd name="connsiteY2" fmla="*/ 4700739 h 4700739"/>
            <a:gd name="connsiteX3" fmla="*/ 4700739 w 4700739"/>
            <a:gd name="connsiteY3" fmla="*/ 4700739 h 4700739"/>
            <a:gd name="connsiteX4" fmla="*/ 4700739 w 4700739"/>
            <a:gd name="connsiteY4" fmla="*/ 4481830 h 4700739"/>
            <a:gd name="connsiteX5" fmla="*/ 224662 w 4700739"/>
            <a:gd name="connsiteY5" fmla="*/ 4481830 h 4700739"/>
            <a:gd name="connsiteX6" fmla="*/ 224662 w 4700739"/>
            <a:gd name="connsiteY6" fmla="*/ 236112 h 4700739"/>
            <a:gd name="connsiteX7" fmla="*/ 4305415 w 4700739"/>
            <a:gd name="connsiteY7" fmla="*/ 242235 h 4700739"/>
            <a:gd name="connsiteX8" fmla="*/ 4575784 w 4700739"/>
            <a:gd name="connsiteY8" fmla="*/ 0 h 4700739"/>
            <a:gd name="connsiteX0" fmla="*/ 4700739 w 4700739"/>
            <a:gd name="connsiteY0" fmla="*/ 126530 h 4700739"/>
            <a:gd name="connsiteX1" fmla="*/ 4476076 w 4700739"/>
            <a:gd name="connsiteY1" fmla="*/ 196028 h 4700739"/>
            <a:gd name="connsiteX2" fmla="*/ 4476076 w 4700739"/>
            <a:gd name="connsiteY2" fmla="*/ 4481830 h 4700739"/>
            <a:gd name="connsiteX3" fmla="*/ 4700739 w 4700739"/>
            <a:gd name="connsiteY3" fmla="*/ 4481830 h 4700739"/>
            <a:gd name="connsiteX4" fmla="*/ 4700739 w 4700739"/>
            <a:gd name="connsiteY4" fmla="*/ 126530 h 47007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4700739" h="4700739">
              <a:moveTo>
                <a:pt x="4575784" y="0"/>
              </a:moveTo>
              <a:lnTo>
                <a:pt x="0" y="0"/>
              </a:lnTo>
              <a:lnTo>
                <a:pt x="0" y="4700739"/>
              </a:lnTo>
              <a:lnTo>
                <a:pt x="4700739" y="4700739"/>
              </a:lnTo>
              <a:lnTo>
                <a:pt x="4700739" y="4481830"/>
              </a:lnTo>
              <a:lnTo>
                <a:pt x="224662" y="4481830"/>
              </a:lnTo>
              <a:lnTo>
                <a:pt x="224662" y="236112"/>
              </a:lnTo>
              <a:lnTo>
                <a:pt x="4305415" y="242235"/>
              </a:lnTo>
              <a:lnTo>
                <a:pt x="4575784" y="0"/>
              </a:lnTo>
              <a:close/>
            </a:path>
            <a:path w="4700739" h="4700739">
              <a:moveTo>
                <a:pt x="4700739" y="126530"/>
              </a:moveTo>
              <a:lnTo>
                <a:pt x="4476076" y="196028"/>
              </a:lnTo>
              <a:lnTo>
                <a:pt x="4476076" y="4481830"/>
              </a:lnTo>
              <a:lnTo>
                <a:pt x="4700739" y="4481830"/>
              </a:lnTo>
              <a:lnTo>
                <a:pt x="4700739" y="126530"/>
              </a:lnTo>
              <a:close/>
            </a:path>
          </a:pathLst>
        </a:custGeom>
        <a:solidFill>
          <a:schemeClr val="bg2">
            <a:lumMod val="75000"/>
          </a:schemeClr>
        </a:solidFill>
      </xdr:spPr>
      <xdr:txBody>
        <a:bodyPr wrap="square" lIns="0" tIns="0" rIns="0" bIns="0" rtlCol="0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101</xdr:row>
      <xdr:rowOff>165101</xdr:rowOff>
    </xdr:from>
    <xdr:to>
      <xdr:col>5</xdr:col>
      <xdr:colOff>19050</xdr:colOff>
      <xdr:row>104</xdr:row>
      <xdr:rowOff>155575</xdr:rowOff>
    </xdr:to>
    <xdr:sp macro="[0]!Macro1" textlink="">
      <xdr:nvSpPr>
        <xdr:cNvPr id="9" name="ZoneText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527550" y="29171901"/>
          <a:ext cx="1625600" cy="555624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scene3d>
          <a:camera prst="orthographicFront"/>
          <a:lightRig rig="threePt" dir="t"/>
        </a:scene3d>
        <a:sp3d extrusionH="76200" contourW="12700">
          <a:bevelT w="152400" h="50800" prst="softRound"/>
          <a:extrusionClr>
            <a:srgbClr val="FF0000"/>
          </a:extrusionClr>
          <a:contourClr>
            <a:srgbClr val="FF00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1400" b="1">
              <a:solidFill>
                <a:srgbClr val="FF0000"/>
              </a:solidFill>
            </a:rPr>
            <a:t>VER</a:t>
          </a:r>
          <a:r>
            <a:rPr lang="fr-CA" sz="1400" b="1" baseline="0">
              <a:solidFill>
                <a:srgbClr val="FF0000"/>
              </a:solidFill>
            </a:rPr>
            <a:t> </a:t>
          </a:r>
          <a:r>
            <a:rPr lang="fr-CA" sz="1400" b="1">
              <a:solidFill>
                <a:srgbClr val="FF0000"/>
              </a:solidFill>
            </a:rPr>
            <a:t>LA</a:t>
          </a:r>
          <a:r>
            <a:rPr lang="fr-CA" sz="1400" b="1" baseline="0">
              <a:solidFill>
                <a:srgbClr val="FF0000"/>
              </a:solidFill>
            </a:rPr>
            <a:t> </a:t>
          </a:r>
          <a:r>
            <a:rPr lang="fr-CA" sz="1400" b="1">
              <a:solidFill>
                <a:srgbClr val="FF0000"/>
              </a:solidFill>
            </a:rPr>
            <a:t>LISTA</a:t>
          </a:r>
          <a:r>
            <a:rPr lang="fr-CA" sz="1400" b="1" baseline="0">
              <a:solidFill>
                <a:srgbClr val="FF0000"/>
              </a:solidFill>
            </a:rPr>
            <a:t> DE COMPETENCIAS</a:t>
          </a:r>
          <a:endParaRPr lang="fr-CA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2483556</xdr:colOff>
      <xdr:row>0</xdr:row>
      <xdr:rowOff>70556</xdr:rowOff>
    </xdr:from>
    <xdr:to>
      <xdr:col>8</xdr:col>
      <xdr:colOff>590903</xdr:colOff>
      <xdr:row>0</xdr:row>
      <xdr:rowOff>380119</xdr:rowOff>
    </xdr:to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10096500" y="70556"/>
          <a:ext cx="936625" cy="309563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  <a:effectLst>
          <a:innerShdw blurRad="63500" dist="50800" dir="16200000">
            <a:srgbClr val="FF0000">
              <a:alpha val="50000"/>
            </a:srgb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1400" b="1"/>
            <a:t>Continuar</a:t>
          </a:r>
          <a:r>
            <a:rPr lang="fr-CA" sz="1400" b="1" baseline="0"/>
            <a:t> </a:t>
          </a:r>
          <a:endParaRPr lang="fr-CA" sz="1400" b="1"/>
        </a:p>
      </xdr:txBody>
    </xdr:sp>
    <xdr:clientData/>
  </xdr:twoCellAnchor>
  <xdr:twoCellAnchor>
    <xdr:from>
      <xdr:col>1</xdr:col>
      <xdr:colOff>171450</xdr:colOff>
      <xdr:row>1</xdr:row>
      <xdr:rowOff>50800</xdr:rowOff>
    </xdr:from>
    <xdr:to>
      <xdr:col>1</xdr:col>
      <xdr:colOff>2696718</xdr:colOff>
      <xdr:row>1</xdr:row>
      <xdr:rowOff>377941</xdr:rowOff>
    </xdr:to>
    <xdr:sp macro="" textlink="">
      <xdr:nvSpPr>
        <xdr:cNvPr id="3" name="ZoneTexte 3"/>
        <xdr:cNvSpPr txBox="1"/>
      </xdr:nvSpPr>
      <xdr:spPr>
        <a:xfrm>
          <a:off x="478367" y="516467"/>
          <a:ext cx="2525268" cy="327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CA" sz="1500" b="1">
              <a:solidFill>
                <a:srgbClr val="7030A0"/>
              </a:solidFill>
            </a:rPr>
            <a:t>COMPETENCIAS FUERTES</a:t>
          </a:r>
        </a:p>
      </xdr:txBody>
    </xdr:sp>
    <xdr:clientData/>
  </xdr:twoCellAnchor>
  <xdr:twoCellAnchor>
    <xdr:from>
      <xdr:col>4</xdr:col>
      <xdr:colOff>25400</xdr:colOff>
      <xdr:row>1</xdr:row>
      <xdr:rowOff>44450</xdr:rowOff>
    </xdr:from>
    <xdr:to>
      <xdr:col>5</xdr:col>
      <xdr:colOff>19050</xdr:colOff>
      <xdr:row>1</xdr:row>
      <xdr:rowOff>371591</xdr:rowOff>
    </xdr:to>
    <xdr:sp macro="" textlink="">
      <xdr:nvSpPr>
        <xdr:cNvPr id="4" name="ZoneTexte 3"/>
        <xdr:cNvSpPr txBox="1"/>
      </xdr:nvSpPr>
      <xdr:spPr>
        <a:xfrm>
          <a:off x="3782483" y="510117"/>
          <a:ext cx="2681817" cy="327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CA" sz="1500" b="1">
              <a:solidFill>
                <a:srgbClr val="7030A0"/>
              </a:solidFill>
            </a:rPr>
            <a:t>COMPETENCIAS MEDIANAS</a:t>
          </a:r>
        </a:p>
      </xdr:txBody>
    </xdr:sp>
    <xdr:clientData/>
  </xdr:twoCellAnchor>
  <xdr:twoCellAnchor>
    <xdr:from>
      <xdr:col>7</xdr:col>
      <xdr:colOff>152400</xdr:colOff>
      <xdr:row>1</xdr:row>
      <xdr:rowOff>38100</xdr:rowOff>
    </xdr:from>
    <xdr:to>
      <xdr:col>7</xdr:col>
      <xdr:colOff>2706243</xdr:colOff>
      <xdr:row>1</xdr:row>
      <xdr:rowOff>365241</xdr:rowOff>
    </xdr:to>
    <xdr:sp macro="" textlink="">
      <xdr:nvSpPr>
        <xdr:cNvPr id="5" name="ZoneTexte 3"/>
        <xdr:cNvSpPr txBox="1"/>
      </xdr:nvSpPr>
      <xdr:spPr>
        <a:xfrm>
          <a:off x="7423150" y="503767"/>
          <a:ext cx="2553843" cy="327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CA" sz="1500" b="1">
              <a:solidFill>
                <a:srgbClr val="7030A0"/>
              </a:solidFill>
            </a:rPr>
            <a:t>COMPETENCIAS DEBILES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3"/>
  <sheetViews>
    <sheetView topLeftCell="A8" workbookViewId="0">
      <selection activeCell="B25" sqref="B25"/>
    </sheetView>
  </sheetViews>
  <sheetFormatPr baseColWidth="10" defaultRowHeight="15" x14ac:dyDescent="0.25"/>
  <cols>
    <col min="1" max="1" width="62.42578125" customWidth="1"/>
    <col min="2" max="2" width="59.28515625" bestFit="1" customWidth="1"/>
  </cols>
  <sheetData>
    <row r="3" spans="1:10" x14ac:dyDescent="0.25">
      <c r="A3" s="108" t="s">
        <v>207</v>
      </c>
      <c r="B3" s="108"/>
      <c r="C3" s="108"/>
      <c r="D3" s="108"/>
      <c r="E3" s="108"/>
      <c r="F3" s="108"/>
      <c r="G3" s="108"/>
      <c r="H3" s="108"/>
      <c r="I3" s="108"/>
      <c r="J3" s="108"/>
    </row>
    <row r="5" spans="1:10" x14ac:dyDescent="0.25">
      <c r="A5" s="111" t="s">
        <v>204</v>
      </c>
      <c r="B5" s="109" t="s">
        <v>201</v>
      </c>
      <c r="C5" s="110"/>
      <c r="D5" s="110"/>
      <c r="E5" s="110"/>
      <c r="F5" s="110"/>
      <c r="G5" s="110"/>
      <c r="H5" s="110"/>
      <c r="I5" s="110"/>
      <c r="J5" s="110"/>
    </row>
    <row r="6" spans="1:10" x14ac:dyDescent="0.25">
      <c r="A6" s="111"/>
      <c r="B6" s="110"/>
      <c r="C6" s="110"/>
      <c r="D6" s="110"/>
      <c r="E6" s="110"/>
      <c r="F6" s="110"/>
      <c r="G6" s="110"/>
      <c r="H6" s="110"/>
      <c r="I6" s="110"/>
      <c r="J6" s="110"/>
    </row>
    <row r="7" spans="1:10" x14ac:dyDescent="0.25">
      <c r="A7" s="111"/>
      <c r="B7" s="110"/>
      <c r="C7" s="110"/>
      <c r="D7" s="110"/>
      <c r="E7" s="110"/>
      <c r="F7" s="110"/>
      <c r="G7" s="110"/>
      <c r="H7" s="110"/>
      <c r="I7" s="110"/>
      <c r="J7" s="110"/>
    </row>
    <row r="8" spans="1:10" x14ac:dyDescent="0.25">
      <c r="A8" s="111"/>
      <c r="B8" s="110"/>
      <c r="C8" s="110"/>
      <c r="D8" s="110"/>
      <c r="E8" s="110"/>
      <c r="F8" s="110"/>
      <c r="G8" s="110"/>
      <c r="H8" s="110"/>
      <c r="I8" s="110"/>
      <c r="J8" s="110"/>
    </row>
    <row r="9" spans="1:10" x14ac:dyDescent="0.25">
      <c r="A9" s="111"/>
      <c r="B9" s="110"/>
      <c r="C9" s="110"/>
      <c r="D9" s="110"/>
      <c r="E9" s="110"/>
      <c r="F9" s="110"/>
      <c r="G9" s="110"/>
      <c r="H9" s="110"/>
      <c r="I9" s="110"/>
      <c r="J9" s="110"/>
    </row>
    <row r="10" spans="1:10" x14ac:dyDescent="0.25">
      <c r="A10" s="111"/>
      <c r="B10" s="110"/>
      <c r="C10" s="110"/>
      <c r="D10" s="110"/>
      <c r="E10" s="110"/>
      <c r="F10" s="110"/>
      <c r="G10" s="110"/>
      <c r="H10" s="110"/>
      <c r="I10" s="110"/>
      <c r="J10" s="110"/>
    </row>
    <row r="11" spans="1:10" x14ac:dyDescent="0.25">
      <c r="A11" s="111"/>
      <c r="B11" s="110"/>
      <c r="C11" s="110"/>
      <c r="D11" s="110"/>
      <c r="E11" s="110"/>
      <c r="F11" s="110"/>
      <c r="G11" s="110"/>
      <c r="H11" s="110"/>
      <c r="I11" s="110"/>
      <c r="J11" s="110"/>
    </row>
    <row r="12" spans="1:10" x14ac:dyDescent="0.25">
      <c r="A12" s="111"/>
      <c r="B12" s="110"/>
      <c r="C12" s="110"/>
      <c r="D12" s="110"/>
      <c r="E12" s="110"/>
      <c r="F12" s="110"/>
      <c r="G12" s="110"/>
      <c r="H12" s="110"/>
      <c r="I12" s="110"/>
      <c r="J12" s="110"/>
    </row>
    <row r="13" spans="1:10" x14ac:dyDescent="0.25">
      <c r="A13" s="97" t="s">
        <v>203</v>
      </c>
      <c r="B13" s="107" t="s">
        <v>202</v>
      </c>
      <c r="C13" s="107"/>
      <c r="D13" s="107"/>
      <c r="E13" s="107"/>
      <c r="F13" s="107"/>
      <c r="G13" s="107"/>
      <c r="H13" s="107"/>
      <c r="I13" s="107"/>
      <c r="J13" s="107"/>
    </row>
    <row r="14" spans="1:10" x14ac:dyDescent="0.25">
      <c r="A14" s="113" t="s">
        <v>203</v>
      </c>
      <c r="B14" s="112" t="s">
        <v>205</v>
      </c>
      <c r="C14" s="112"/>
      <c r="D14" s="112"/>
      <c r="E14" s="112"/>
      <c r="F14" s="112"/>
      <c r="G14" s="112"/>
      <c r="H14" s="112"/>
      <c r="I14" s="112"/>
      <c r="J14" s="112"/>
    </row>
    <row r="15" spans="1:10" x14ac:dyDescent="0.25">
      <c r="A15" s="113"/>
      <c r="B15" s="112"/>
      <c r="C15" s="112"/>
      <c r="D15" s="112"/>
      <c r="E15" s="112"/>
      <c r="F15" s="112"/>
      <c r="G15" s="112"/>
      <c r="H15" s="112"/>
      <c r="I15" s="112"/>
      <c r="J15" s="112"/>
    </row>
    <row r="16" spans="1:10" x14ac:dyDescent="0.25">
      <c r="A16" s="113"/>
      <c r="B16" s="112"/>
      <c r="C16" s="112"/>
      <c r="D16" s="112"/>
      <c r="E16" s="112"/>
      <c r="F16" s="112"/>
      <c r="G16" s="112"/>
      <c r="H16" s="112"/>
      <c r="I16" s="112"/>
      <c r="J16" s="112"/>
    </row>
    <row r="17" spans="1:12" x14ac:dyDescent="0.25">
      <c r="A17" s="113"/>
      <c r="B17" s="112"/>
      <c r="C17" s="112"/>
      <c r="D17" s="112"/>
      <c r="E17" s="112"/>
      <c r="F17" s="112"/>
      <c r="G17" s="112"/>
      <c r="H17" s="112"/>
      <c r="I17" s="112"/>
      <c r="J17" s="112"/>
    </row>
    <row r="19" spans="1:12" x14ac:dyDescent="0.25">
      <c r="A19" s="103" t="s">
        <v>206</v>
      </c>
      <c r="B19" s="98" t="s">
        <v>127</v>
      </c>
      <c r="C19" s="106" t="s">
        <v>129</v>
      </c>
      <c r="D19" s="106"/>
      <c r="E19" s="106"/>
      <c r="F19" s="106"/>
      <c r="G19" s="106"/>
      <c r="H19" s="106"/>
      <c r="I19" s="106"/>
      <c r="J19" s="106"/>
      <c r="K19" s="100" t="s">
        <v>208</v>
      </c>
      <c r="L19" s="101"/>
    </row>
    <row r="20" spans="1:12" x14ac:dyDescent="0.25">
      <c r="A20" s="104"/>
      <c r="B20" s="102" t="s">
        <v>142</v>
      </c>
      <c r="C20" s="107" t="s">
        <v>144</v>
      </c>
      <c r="D20" s="107"/>
      <c r="E20" s="107"/>
      <c r="F20" s="107"/>
      <c r="G20" s="107"/>
      <c r="H20" s="107"/>
      <c r="I20" s="107"/>
      <c r="J20" s="107"/>
      <c r="K20" s="100"/>
      <c r="L20" s="101"/>
    </row>
    <row r="21" spans="1:12" x14ac:dyDescent="0.25">
      <c r="A21" s="104"/>
      <c r="B21" s="102"/>
      <c r="C21" s="107" t="s">
        <v>145</v>
      </c>
      <c r="D21" s="107"/>
      <c r="E21" s="107"/>
      <c r="F21" s="107"/>
      <c r="G21" s="107"/>
      <c r="H21" s="107"/>
      <c r="I21" s="107"/>
      <c r="J21" s="107"/>
      <c r="K21" s="100"/>
      <c r="L21" s="101"/>
    </row>
    <row r="22" spans="1:12" x14ac:dyDescent="0.25">
      <c r="A22" s="104"/>
      <c r="B22" s="102"/>
      <c r="C22" s="107" t="s">
        <v>146</v>
      </c>
      <c r="D22" s="107"/>
      <c r="E22" s="107"/>
      <c r="F22" s="107"/>
      <c r="G22" s="107"/>
      <c r="H22" s="107"/>
      <c r="I22" s="107"/>
      <c r="J22" s="107"/>
      <c r="K22" s="100"/>
      <c r="L22" s="101"/>
    </row>
    <row r="23" spans="1:12" x14ac:dyDescent="0.25">
      <c r="A23" s="105"/>
      <c r="B23" s="99" t="s">
        <v>154</v>
      </c>
      <c r="C23" s="107" t="s">
        <v>163</v>
      </c>
      <c r="D23" s="107"/>
      <c r="E23" s="107"/>
      <c r="F23" s="107"/>
      <c r="G23" s="107"/>
      <c r="H23" s="107"/>
      <c r="I23" s="107"/>
      <c r="J23" s="107"/>
      <c r="K23" s="100"/>
      <c r="L23" s="101"/>
    </row>
  </sheetData>
  <mergeCells count="14">
    <mergeCell ref="A3:J3"/>
    <mergeCell ref="B5:J12"/>
    <mergeCell ref="A5:A12"/>
    <mergeCell ref="B13:J13"/>
    <mergeCell ref="B14:J17"/>
    <mergeCell ref="A14:A17"/>
    <mergeCell ref="K19:L23"/>
    <mergeCell ref="B20:B22"/>
    <mergeCell ref="A19:A23"/>
    <mergeCell ref="C19:J19"/>
    <mergeCell ref="C20:J20"/>
    <mergeCell ref="C21:J21"/>
    <mergeCell ref="C22:J22"/>
    <mergeCell ref="C23:J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8" tint="0.59999389629810485"/>
  </sheetPr>
  <dimension ref="A1:I22"/>
  <sheetViews>
    <sheetView showGridLines="0" showRowColHeaders="0" topLeftCell="A4" workbookViewId="0">
      <selection activeCell="C18" sqref="C18"/>
    </sheetView>
  </sheetViews>
  <sheetFormatPr baseColWidth="10" defaultColWidth="0" defaultRowHeight="15" zeroHeight="1" x14ac:dyDescent="0.25"/>
  <cols>
    <col min="1" max="1" width="2.140625" customWidth="1"/>
    <col min="2" max="2" width="6.5703125" customWidth="1"/>
    <col min="3" max="3" width="82.5703125" customWidth="1"/>
    <col min="4" max="4" width="4.42578125" customWidth="1"/>
    <col min="5" max="5" width="4" customWidth="1"/>
    <col min="6" max="6" width="7.85546875" hidden="1" customWidth="1"/>
    <col min="7" max="7" width="6.42578125" hidden="1" customWidth="1"/>
    <col min="8" max="8" width="6.5703125" hidden="1" customWidth="1"/>
    <col min="9" max="9" width="6" hidden="1" customWidth="1"/>
    <col min="10" max="16384" width="10.85546875" hidden="1"/>
  </cols>
  <sheetData>
    <row r="1" spans="3:3" x14ac:dyDescent="0.25"/>
    <row r="2" spans="3:3" x14ac:dyDescent="0.25"/>
    <row r="3" spans="3:3" ht="15.75" x14ac:dyDescent="0.25">
      <c r="C3" s="93" t="s">
        <v>16</v>
      </c>
    </row>
    <row r="4" spans="3:3" ht="9" customHeight="1" x14ac:dyDescent="0.25">
      <c r="C4" s="6"/>
    </row>
    <row r="5" spans="3:3" x14ac:dyDescent="0.25">
      <c r="C5" s="68" t="s">
        <v>17</v>
      </c>
    </row>
    <row r="6" spans="3:3" x14ac:dyDescent="0.25">
      <c r="C6" s="68" t="s">
        <v>18</v>
      </c>
    </row>
    <row r="7" spans="3:3" x14ac:dyDescent="0.25">
      <c r="C7" s="7"/>
    </row>
    <row r="8" spans="3:3" ht="90" x14ac:dyDescent="0.25">
      <c r="C8" s="69" t="s">
        <v>19</v>
      </c>
    </row>
    <row r="9" spans="3:3" x14ac:dyDescent="0.25">
      <c r="C9" s="68" t="s">
        <v>20</v>
      </c>
    </row>
    <row r="10" spans="3:3" x14ac:dyDescent="0.25">
      <c r="C10" s="68" t="s">
        <v>21</v>
      </c>
    </row>
    <row r="11" spans="3:3" x14ac:dyDescent="0.25">
      <c r="C11" s="68" t="s">
        <v>22</v>
      </c>
    </row>
    <row r="12" spans="3:3" x14ac:dyDescent="0.25">
      <c r="C12" s="68" t="s">
        <v>23</v>
      </c>
    </row>
    <row r="13" spans="3:3" x14ac:dyDescent="0.25">
      <c r="C13" s="8"/>
    </row>
    <row r="14" spans="3:3" x14ac:dyDescent="0.25"/>
    <row r="15" spans="3:3" x14ac:dyDescent="0.25"/>
    <row r="16" spans="3:3" x14ac:dyDescent="0.25"/>
    <row r="17" x14ac:dyDescent="0.25"/>
    <row r="18" x14ac:dyDescent="0.25"/>
    <row r="19" x14ac:dyDescent="0.25"/>
    <row r="20" x14ac:dyDescent="0.25"/>
    <row r="21" x14ac:dyDescent="0.25"/>
    <row r="22" x14ac:dyDescent="0.25"/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7" tint="0.79998168889431442"/>
  </sheetPr>
  <dimension ref="A1:L61"/>
  <sheetViews>
    <sheetView showGridLines="0" topLeftCell="A38" workbookViewId="0"/>
  </sheetViews>
  <sheetFormatPr baseColWidth="10" defaultColWidth="0" defaultRowHeight="15" zeroHeight="1" x14ac:dyDescent="0.25"/>
  <cols>
    <col min="1" max="1" width="5.140625" customWidth="1"/>
    <col min="2" max="2" width="6.5703125" customWidth="1"/>
    <col min="3" max="3" width="84.140625" customWidth="1"/>
    <col min="4" max="4" width="1.5703125" customWidth="1"/>
    <col min="5" max="5" width="4.42578125" customWidth="1"/>
    <col min="6" max="6" width="6.42578125" customWidth="1"/>
    <col min="7" max="7" width="4.28515625" customWidth="1"/>
    <col min="8" max="8" width="4.42578125" customWidth="1"/>
    <col min="9" max="9" width="11.140625" hidden="1" customWidth="1"/>
    <col min="10" max="10" width="6.5703125" hidden="1" customWidth="1"/>
    <col min="11" max="11" width="6" hidden="1" customWidth="1"/>
    <col min="12" max="16384" width="10.85546875" hidden="1"/>
  </cols>
  <sheetData>
    <row r="1" spans="2:10" x14ac:dyDescent="0.25"/>
    <row r="2" spans="2:10" x14ac:dyDescent="0.25"/>
    <row r="3" spans="2:10" ht="27" customHeight="1" x14ac:dyDescent="0.25">
      <c r="C3" s="92" t="s">
        <v>24</v>
      </c>
      <c r="D3" s="10"/>
    </row>
    <row r="4" spans="2:10" ht="3" customHeight="1" x14ac:dyDescent="0.25"/>
    <row r="5" spans="2:10" ht="12" customHeight="1" x14ac:dyDescent="0.25">
      <c r="D5" s="9"/>
    </row>
    <row r="6" spans="2:10" x14ac:dyDescent="0.25">
      <c r="C6" s="70" t="s">
        <v>25</v>
      </c>
    </row>
    <row r="7" spans="2:10" ht="21" customHeight="1" x14ac:dyDescent="0.25">
      <c r="B7" s="71">
        <v>1</v>
      </c>
      <c r="C7" s="72" t="s">
        <v>37</v>
      </c>
      <c r="D7" s="72"/>
      <c r="E7" s="71">
        <v>1</v>
      </c>
      <c r="F7" s="64"/>
      <c r="G7" s="2"/>
      <c r="I7" t="b">
        <f>IF((J7=1),TRUE,FALSE)</f>
        <v>0</v>
      </c>
      <c r="J7">
        <f>IF(COUNTA(F7)=1,1,0)</f>
        <v>0</v>
      </c>
    </row>
    <row r="8" spans="2:10" ht="21" customHeight="1" x14ac:dyDescent="0.25">
      <c r="B8" s="71">
        <v>2</v>
      </c>
      <c r="C8" s="72" t="s">
        <v>26</v>
      </c>
      <c r="D8" s="72"/>
      <c r="E8" s="71">
        <v>2</v>
      </c>
      <c r="F8" s="64"/>
      <c r="G8" s="2"/>
      <c r="I8" t="b">
        <f t="shared" ref="I8:I40" si="0">IF((J8=1),TRUE,FALSE)</f>
        <v>0</v>
      </c>
      <c r="J8">
        <f t="shared" ref="J8:J40" si="1">IF(COUNTA(F8)=1,1,0)</f>
        <v>0</v>
      </c>
    </row>
    <row r="9" spans="2:10" ht="21" customHeight="1" x14ac:dyDescent="0.25">
      <c r="B9" s="71">
        <v>3</v>
      </c>
      <c r="C9" s="72" t="s">
        <v>27</v>
      </c>
      <c r="D9" s="72"/>
      <c r="E9" s="71">
        <v>3</v>
      </c>
      <c r="F9" s="64"/>
      <c r="G9" s="2"/>
      <c r="I9" t="b">
        <f t="shared" si="0"/>
        <v>0</v>
      </c>
      <c r="J9">
        <f t="shared" si="1"/>
        <v>0</v>
      </c>
    </row>
    <row r="10" spans="2:10" ht="21" customHeight="1" x14ac:dyDescent="0.25">
      <c r="B10" s="71">
        <v>4</v>
      </c>
      <c r="C10" s="72" t="s">
        <v>28</v>
      </c>
      <c r="D10" s="72"/>
      <c r="E10" s="71">
        <v>4</v>
      </c>
      <c r="F10" s="64"/>
      <c r="G10" s="2"/>
      <c r="I10" t="b">
        <f t="shared" si="0"/>
        <v>0</v>
      </c>
      <c r="J10">
        <f t="shared" si="1"/>
        <v>0</v>
      </c>
    </row>
    <row r="11" spans="2:10" ht="21" customHeight="1" x14ac:dyDescent="0.25">
      <c r="B11" s="71">
        <v>5</v>
      </c>
      <c r="C11" s="72" t="s">
        <v>38</v>
      </c>
      <c r="D11" s="72"/>
      <c r="E11" s="71">
        <v>5</v>
      </c>
      <c r="F11" s="64"/>
      <c r="G11" s="2"/>
      <c r="I11" t="b">
        <f t="shared" si="0"/>
        <v>0</v>
      </c>
      <c r="J11">
        <f t="shared" si="1"/>
        <v>0</v>
      </c>
    </row>
    <row r="12" spans="2:10" ht="21" customHeight="1" x14ac:dyDescent="0.25">
      <c r="B12" s="71">
        <v>6</v>
      </c>
      <c r="C12" s="72" t="s">
        <v>39</v>
      </c>
      <c r="D12" s="72"/>
      <c r="E12" s="71">
        <v>6</v>
      </c>
      <c r="F12" s="64"/>
      <c r="G12" s="2"/>
      <c r="I12" t="b">
        <f t="shared" si="0"/>
        <v>0</v>
      </c>
      <c r="J12">
        <f t="shared" si="1"/>
        <v>0</v>
      </c>
    </row>
    <row r="13" spans="2:10" ht="21" customHeight="1" x14ac:dyDescent="0.25">
      <c r="B13" s="71">
        <v>7</v>
      </c>
      <c r="C13" s="72" t="s">
        <v>40</v>
      </c>
      <c r="D13" s="72"/>
      <c r="E13" s="71">
        <v>7</v>
      </c>
      <c r="F13" s="64"/>
      <c r="G13" s="2"/>
      <c r="I13" t="b">
        <f t="shared" si="0"/>
        <v>0</v>
      </c>
      <c r="J13">
        <f t="shared" si="1"/>
        <v>0</v>
      </c>
    </row>
    <row r="14" spans="2:10" ht="21" customHeight="1" x14ac:dyDescent="0.25">
      <c r="B14" s="71">
        <v>8</v>
      </c>
      <c r="C14" s="72" t="s">
        <v>41</v>
      </c>
      <c r="D14" s="72"/>
      <c r="E14" s="71">
        <v>8</v>
      </c>
      <c r="F14" s="64"/>
      <c r="G14" s="2"/>
      <c r="I14" t="b">
        <f t="shared" si="0"/>
        <v>0</v>
      </c>
      <c r="J14">
        <f t="shared" si="1"/>
        <v>0</v>
      </c>
    </row>
    <row r="15" spans="2:10" ht="21" customHeight="1" x14ac:dyDescent="0.25">
      <c r="B15" s="71">
        <v>9</v>
      </c>
      <c r="C15" s="72" t="s">
        <v>42</v>
      </c>
      <c r="D15" s="72"/>
      <c r="E15" s="71">
        <v>9</v>
      </c>
      <c r="F15" s="64"/>
      <c r="G15" s="2"/>
      <c r="I15" t="b">
        <f t="shared" si="0"/>
        <v>0</v>
      </c>
      <c r="J15">
        <f t="shared" si="1"/>
        <v>0</v>
      </c>
    </row>
    <row r="16" spans="2:10" ht="18" x14ac:dyDescent="0.25">
      <c r="B16" s="71">
        <v>10</v>
      </c>
      <c r="C16" s="72" t="s">
        <v>43</v>
      </c>
      <c r="D16" s="72"/>
      <c r="E16" s="71">
        <v>10</v>
      </c>
      <c r="F16" s="64"/>
      <c r="G16" s="2"/>
      <c r="I16" t="b">
        <f t="shared" si="0"/>
        <v>0</v>
      </c>
      <c r="J16">
        <f t="shared" si="1"/>
        <v>0</v>
      </c>
    </row>
    <row r="17" spans="2:10" ht="45" x14ac:dyDescent="0.25">
      <c r="B17" s="71">
        <v>11</v>
      </c>
      <c r="C17" s="72" t="s">
        <v>44</v>
      </c>
      <c r="D17" s="72"/>
      <c r="E17" s="71">
        <v>11</v>
      </c>
      <c r="F17" s="64"/>
      <c r="G17" s="2"/>
      <c r="I17" t="b">
        <f t="shared" si="0"/>
        <v>0</v>
      </c>
      <c r="J17">
        <f t="shared" si="1"/>
        <v>0</v>
      </c>
    </row>
    <row r="18" spans="2:10" ht="33" customHeight="1" x14ac:dyDescent="0.25">
      <c r="B18" s="71">
        <v>12</v>
      </c>
      <c r="C18" s="72" t="s">
        <v>45</v>
      </c>
      <c r="D18" s="72"/>
      <c r="E18" s="71">
        <v>12</v>
      </c>
      <c r="F18" s="64"/>
      <c r="G18" s="2"/>
      <c r="I18" t="b">
        <f t="shared" si="0"/>
        <v>0</v>
      </c>
      <c r="J18">
        <f t="shared" si="1"/>
        <v>0</v>
      </c>
    </row>
    <row r="19" spans="2:10" ht="21" customHeight="1" x14ac:dyDescent="0.25">
      <c r="B19" s="71">
        <v>13</v>
      </c>
      <c r="C19" s="72" t="s">
        <v>46</v>
      </c>
      <c r="D19" s="72"/>
      <c r="E19" s="71">
        <v>13</v>
      </c>
      <c r="F19" s="64"/>
      <c r="G19" s="2"/>
      <c r="I19" t="b">
        <f t="shared" si="0"/>
        <v>0</v>
      </c>
      <c r="J19">
        <f t="shared" si="1"/>
        <v>0</v>
      </c>
    </row>
    <row r="20" spans="2:10" ht="21" customHeight="1" x14ac:dyDescent="0.25">
      <c r="B20" s="71">
        <v>14</v>
      </c>
      <c r="C20" s="72" t="s">
        <v>47</v>
      </c>
      <c r="D20" s="72"/>
      <c r="E20" s="71">
        <v>14</v>
      </c>
      <c r="F20" s="64"/>
      <c r="G20" s="2"/>
      <c r="I20" t="b">
        <f t="shared" si="0"/>
        <v>0</v>
      </c>
      <c r="J20">
        <f t="shared" si="1"/>
        <v>0</v>
      </c>
    </row>
    <row r="21" spans="2:10" ht="30.95" customHeight="1" x14ac:dyDescent="0.25">
      <c r="B21" s="71">
        <v>15</v>
      </c>
      <c r="C21" s="72" t="s">
        <v>48</v>
      </c>
      <c r="D21" s="72"/>
      <c r="E21" s="71">
        <v>15</v>
      </c>
      <c r="F21" s="64"/>
      <c r="G21" s="2"/>
      <c r="I21" t="b">
        <f t="shared" si="0"/>
        <v>0</v>
      </c>
      <c r="J21">
        <f t="shared" si="1"/>
        <v>0</v>
      </c>
    </row>
    <row r="22" spans="2:10" ht="21" customHeight="1" x14ac:dyDescent="0.25">
      <c r="B22" s="71">
        <v>16</v>
      </c>
      <c r="C22" s="72" t="s">
        <v>49</v>
      </c>
      <c r="D22" s="72"/>
      <c r="E22" s="71">
        <v>16</v>
      </c>
      <c r="F22" s="64"/>
      <c r="G22" s="2"/>
      <c r="I22" t="b">
        <f t="shared" si="0"/>
        <v>0</v>
      </c>
      <c r="J22">
        <f t="shared" si="1"/>
        <v>0</v>
      </c>
    </row>
    <row r="23" spans="2:10" ht="21" customHeight="1" x14ac:dyDescent="0.25">
      <c r="B23" s="71">
        <v>17</v>
      </c>
      <c r="C23" s="72" t="s">
        <v>50</v>
      </c>
      <c r="D23" s="72"/>
      <c r="E23" s="71">
        <v>17</v>
      </c>
      <c r="F23" s="64"/>
      <c r="G23" s="2"/>
      <c r="I23" t="b">
        <f t="shared" si="0"/>
        <v>0</v>
      </c>
      <c r="J23">
        <f t="shared" si="1"/>
        <v>0</v>
      </c>
    </row>
    <row r="24" spans="2:10" ht="21" customHeight="1" x14ac:dyDescent="0.25">
      <c r="B24" s="71">
        <v>18</v>
      </c>
      <c r="C24" s="72" t="s">
        <v>51</v>
      </c>
      <c r="D24" s="72"/>
      <c r="E24" s="71">
        <v>18</v>
      </c>
      <c r="F24" s="64"/>
      <c r="G24" s="2"/>
      <c r="I24" t="b">
        <f t="shared" si="0"/>
        <v>0</v>
      </c>
      <c r="J24">
        <f t="shared" si="1"/>
        <v>0</v>
      </c>
    </row>
    <row r="25" spans="2:10" ht="32.1" customHeight="1" x14ac:dyDescent="0.25">
      <c r="B25" s="71">
        <v>19</v>
      </c>
      <c r="C25" s="72" t="s">
        <v>52</v>
      </c>
      <c r="D25" s="72"/>
      <c r="E25" s="71">
        <v>19</v>
      </c>
      <c r="F25" s="64"/>
      <c r="G25" s="2"/>
      <c r="I25" t="b">
        <f t="shared" si="0"/>
        <v>0</v>
      </c>
      <c r="J25">
        <f t="shared" si="1"/>
        <v>0</v>
      </c>
    </row>
    <row r="26" spans="2:10" ht="21" customHeight="1" x14ac:dyDescent="0.25">
      <c r="B26" s="71">
        <v>20</v>
      </c>
      <c r="C26" s="72" t="s">
        <v>29</v>
      </c>
      <c r="D26" s="72"/>
      <c r="E26" s="71">
        <v>20</v>
      </c>
      <c r="F26" s="64"/>
      <c r="G26" s="2"/>
      <c r="I26" t="b">
        <f t="shared" si="0"/>
        <v>0</v>
      </c>
      <c r="J26">
        <f t="shared" si="1"/>
        <v>0</v>
      </c>
    </row>
    <row r="27" spans="2:10" ht="21" customHeight="1" x14ac:dyDescent="0.25">
      <c r="B27" s="71">
        <v>21</v>
      </c>
      <c r="C27" s="72" t="s">
        <v>53</v>
      </c>
      <c r="D27" s="72"/>
      <c r="E27" s="71">
        <v>21</v>
      </c>
      <c r="F27" s="64"/>
      <c r="G27" s="2"/>
      <c r="I27" t="b">
        <f t="shared" si="0"/>
        <v>0</v>
      </c>
      <c r="J27">
        <f t="shared" si="1"/>
        <v>0</v>
      </c>
    </row>
    <row r="28" spans="2:10" ht="21" customHeight="1" x14ac:dyDescent="0.25">
      <c r="B28" s="71">
        <v>22</v>
      </c>
      <c r="C28" s="72" t="s">
        <v>30</v>
      </c>
      <c r="D28" s="72"/>
      <c r="E28" s="71">
        <v>22</v>
      </c>
      <c r="F28" s="64"/>
      <c r="G28" s="2"/>
      <c r="I28" t="b">
        <f t="shared" si="0"/>
        <v>0</v>
      </c>
      <c r="J28">
        <f t="shared" si="1"/>
        <v>0</v>
      </c>
    </row>
    <row r="29" spans="2:10" ht="21" customHeight="1" x14ac:dyDescent="0.25">
      <c r="B29" s="71">
        <v>23</v>
      </c>
      <c r="C29" s="72" t="s">
        <v>31</v>
      </c>
      <c r="D29" s="72"/>
      <c r="E29" s="71">
        <v>23</v>
      </c>
      <c r="F29" s="64"/>
      <c r="G29" s="2"/>
      <c r="I29" t="b">
        <f t="shared" si="0"/>
        <v>0</v>
      </c>
      <c r="J29">
        <f t="shared" si="1"/>
        <v>0</v>
      </c>
    </row>
    <row r="30" spans="2:10" ht="30" x14ac:dyDescent="0.25">
      <c r="B30" s="71">
        <v>24</v>
      </c>
      <c r="C30" s="72" t="s">
        <v>54</v>
      </c>
      <c r="D30" s="72"/>
      <c r="E30" s="71">
        <v>24</v>
      </c>
      <c r="F30" s="64"/>
      <c r="G30" s="2"/>
      <c r="I30" t="b">
        <f t="shared" si="0"/>
        <v>0</v>
      </c>
      <c r="J30">
        <f t="shared" si="1"/>
        <v>0</v>
      </c>
    </row>
    <row r="31" spans="2:10" ht="21" customHeight="1" x14ac:dyDescent="0.25">
      <c r="B31" s="71">
        <v>25</v>
      </c>
      <c r="C31" s="72" t="s">
        <v>34</v>
      </c>
      <c r="D31" s="72"/>
      <c r="E31" s="71">
        <v>25</v>
      </c>
      <c r="F31" s="64"/>
      <c r="G31" s="2"/>
      <c r="I31" t="b">
        <f t="shared" si="0"/>
        <v>0</v>
      </c>
      <c r="J31">
        <f t="shared" si="1"/>
        <v>0</v>
      </c>
    </row>
    <row r="32" spans="2:10" ht="21" customHeight="1" x14ac:dyDescent="0.25">
      <c r="B32" s="71">
        <v>26</v>
      </c>
      <c r="C32" s="72" t="s">
        <v>55</v>
      </c>
      <c r="D32" s="72"/>
      <c r="E32" s="71">
        <v>26</v>
      </c>
      <c r="F32" s="64"/>
      <c r="G32" s="2"/>
      <c r="I32" t="b">
        <f t="shared" si="0"/>
        <v>0</v>
      </c>
      <c r="J32">
        <f t="shared" si="1"/>
        <v>0</v>
      </c>
    </row>
    <row r="33" spans="2:10" ht="21" customHeight="1" x14ac:dyDescent="0.25">
      <c r="B33" s="71">
        <v>27</v>
      </c>
      <c r="C33" s="72" t="s">
        <v>56</v>
      </c>
      <c r="D33" s="72"/>
      <c r="E33" s="71">
        <v>27</v>
      </c>
      <c r="F33" s="64"/>
      <c r="G33" s="2"/>
      <c r="I33" t="b">
        <f t="shared" si="0"/>
        <v>0</v>
      </c>
      <c r="J33">
        <f t="shared" si="1"/>
        <v>0</v>
      </c>
    </row>
    <row r="34" spans="2:10" ht="30.95" customHeight="1" x14ac:dyDescent="0.25">
      <c r="B34" s="71">
        <v>28</v>
      </c>
      <c r="C34" s="72" t="s">
        <v>35</v>
      </c>
      <c r="D34" s="72"/>
      <c r="E34" s="71">
        <v>28</v>
      </c>
      <c r="F34" s="64"/>
      <c r="G34" s="2"/>
      <c r="I34" t="b">
        <f t="shared" si="0"/>
        <v>0</v>
      </c>
      <c r="J34">
        <f t="shared" si="1"/>
        <v>0</v>
      </c>
    </row>
    <row r="35" spans="2:10" ht="33" customHeight="1" x14ac:dyDescent="0.25">
      <c r="B35" s="71">
        <v>29</v>
      </c>
      <c r="C35" s="72" t="s">
        <v>36</v>
      </c>
      <c r="D35" s="72"/>
      <c r="E35" s="71">
        <v>29</v>
      </c>
      <c r="F35" s="64"/>
      <c r="G35" s="2"/>
      <c r="I35" t="b">
        <f t="shared" si="0"/>
        <v>0</v>
      </c>
      <c r="J35">
        <f t="shared" si="1"/>
        <v>0</v>
      </c>
    </row>
    <row r="36" spans="2:10" ht="30" customHeight="1" x14ac:dyDescent="0.25">
      <c r="B36" s="71">
        <v>30</v>
      </c>
      <c r="C36" s="72" t="s">
        <v>66</v>
      </c>
      <c r="D36" s="72"/>
      <c r="E36" s="71">
        <v>30</v>
      </c>
      <c r="F36" s="64"/>
      <c r="G36" s="2"/>
      <c r="I36" t="b">
        <f t="shared" si="0"/>
        <v>0</v>
      </c>
      <c r="J36">
        <f t="shared" si="1"/>
        <v>0</v>
      </c>
    </row>
    <row r="37" spans="2:10" ht="30" customHeight="1" x14ac:dyDescent="0.25">
      <c r="B37" s="71">
        <v>31</v>
      </c>
      <c r="C37" s="72" t="s">
        <v>32</v>
      </c>
      <c r="D37" s="72"/>
      <c r="E37" s="71">
        <v>31</v>
      </c>
      <c r="F37" s="64"/>
      <c r="G37" s="2"/>
      <c r="I37" t="b">
        <f t="shared" si="0"/>
        <v>0</v>
      </c>
      <c r="J37">
        <f t="shared" si="1"/>
        <v>0</v>
      </c>
    </row>
    <row r="38" spans="2:10" ht="21" customHeight="1" x14ac:dyDescent="0.25">
      <c r="B38" s="71">
        <v>32</v>
      </c>
      <c r="C38" s="72" t="s">
        <v>57</v>
      </c>
      <c r="D38" s="72"/>
      <c r="E38" s="71">
        <v>32</v>
      </c>
      <c r="F38" s="64"/>
      <c r="G38" s="2"/>
      <c r="I38" t="b">
        <f t="shared" si="0"/>
        <v>0</v>
      </c>
      <c r="J38">
        <f t="shared" si="1"/>
        <v>0</v>
      </c>
    </row>
    <row r="39" spans="2:10" ht="21" customHeight="1" x14ac:dyDescent="0.25">
      <c r="B39" s="71">
        <v>33</v>
      </c>
      <c r="C39" s="72" t="s">
        <v>58</v>
      </c>
      <c r="D39" s="72"/>
      <c r="E39" s="71">
        <v>33</v>
      </c>
      <c r="F39" s="64"/>
      <c r="G39" s="2"/>
      <c r="I39" t="b">
        <f t="shared" si="0"/>
        <v>0</v>
      </c>
      <c r="J39">
        <f t="shared" si="1"/>
        <v>0</v>
      </c>
    </row>
    <row r="40" spans="2:10" ht="28.5" customHeight="1" x14ac:dyDescent="0.25">
      <c r="B40" s="71">
        <v>34</v>
      </c>
      <c r="C40" s="72" t="s">
        <v>33</v>
      </c>
      <c r="D40" s="72"/>
      <c r="E40" s="71">
        <v>34</v>
      </c>
      <c r="F40" s="64"/>
      <c r="G40" s="2"/>
      <c r="I40" t="b">
        <f t="shared" si="0"/>
        <v>0</v>
      </c>
      <c r="J40">
        <f t="shared" si="1"/>
        <v>0</v>
      </c>
    </row>
    <row r="41" spans="2:10" ht="6.95" customHeight="1" x14ac:dyDescent="0.25">
      <c r="F41" s="11"/>
      <c r="G41" s="11"/>
    </row>
    <row r="42" spans="2:10" ht="6.95" customHeight="1" x14ac:dyDescent="0.25">
      <c r="F42" s="16">
        <f>COUNTA(F7:F40)</f>
        <v>0</v>
      </c>
      <c r="G42" s="11"/>
    </row>
    <row r="43" spans="2:10" ht="14.1" customHeight="1" x14ac:dyDescent="0.25">
      <c r="C43" s="14"/>
      <c r="D43" s="14"/>
      <c r="E43" s="15" t="s">
        <v>0</v>
      </c>
      <c r="F43" s="20" t="s">
        <v>10</v>
      </c>
      <c r="G43" s="16"/>
      <c r="I43" s="1">
        <f>SUMIF(F7:F40,"=x",J7:J40)</f>
        <v>0</v>
      </c>
    </row>
    <row r="44" spans="2:10" x14ac:dyDescent="0.25">
      <c r="C44" s="20"/>
      <c r="D44" s="3"/>
      <c r="F44" s="4" t="str">
        <f>+IF(I43&gt;=3,I43,"Revisez vous réponses. Minimun 4")</f>
        <v>Revisez vous réponses. Minimun 4</v>
      </c>
      <c r="G44" s="5"/>
      <c r="I44">
        <f>COUNTIF(F7:F40,"x")</f>
        <v>0</v>
      </c>
    </row>
    <row r="45" spans="2:10" x14ac:dyDescent="0.25">
      <c r="C45" s="3"/>
    </row>
    <row r="46" spans="2:10" x14ac:dyDescent="0.25">
      <c r="C46" s="73"/>
    </row>
    <row r="47" spans="2:10" x14ac:dyDescent="0.25"/>
    <row r="48" spans="2:10" x14ac:dyDescent="0.25"/>
    <row r="49" spans="8:12" x14ac:dyDescent="0.25">
      <c r="I49" t="s">
        <v>1</v>
      </c>
      <c r="J49">
        <f>+'1. Etapa'!J7+'1. Etapa'!J8+'1. Etapa'!J9+'1. Etapa'!J16+'1. Etapa'!J36+'1. Etapa'!J37</f>
        <v>0</v>
      </c>
      <c r="K49">
        <f>IF(COUNTA(F9,F7,F8,F16,F36,F37)=1,1,0)</f>
        <v>0</v>
      </c>
      <c r="L49" s="1">
        <f>SUMIF(F7:F9,"=x",J7:J9)+SUMIF(F16,"X",J16)+SUMIF(F36:F37,"X",J36:J37)</f>
        <v>0</v>
      </c>
    </row>
    <row r="50" spans="8:12" x14ac:dyDescent="0.25">
      <c r="I50" t="s">
        <v>2</v>
      </c>
      <c r="J50">
        <f>+'1. Etapa'!J9+'1. Etapa'!J21+'1. Etapa'!J38+'1. Etapa'!J39+'1. Etapa'!J40</f>
        <v>0</v>
      </c>
      <c r="K50">
        <f>IF(COUNTA(F9,F21,F38,F39,F40)=1,0,1)</f>
        <v>1</v>
      </c>
      <c r="L50" s="1">
        <f>SUMIF(F9,"=x",J9)+SUMIF(F21,"X",J21)+SUMIF(F38:F40,"X",J38:J40)</f>
        <v>0</v>
      </c>
    </row>
    <row r="51" spans="8:12" hidden="1" x14ac:dyDescent="0.25">
      <c r="I51" t="s">
        <v>3</v>
      </c>
      <c r="J51">
        <f>+'1. Etapa'!J10+'1. Etapa'!J11+'1. Etapa'!J12+'1. Etapa'!J17+'1. Etapa'!J18+'1. Etapa'!J31+'1. Etapa'!J34</f>
        <v>0</v>
      </c>
      <c r="K51">
        <f>IF(COUNTA(F10,F11,F12,F17,F18,F31,F34)=1,0,1)</f>
        <v>1</v>
      </c>
      <c r="L51" s="1">
        <f>SUMIF(F10:F12,"=x",J10:J12)+SUMIF(F17:F18,"X",J17:J18)+SUMIF(F31,"X",J31)+SUMIF(F34,"X",J34)</f>
        <v>0</v>
      </c>
    </row>
    <row r="52" spans="8:12" hidden="1" x14ac:dyDescent="0.25">
      <c r="I52" t="s">
        <v>5</v>
      </c>
      <c r="J52">
        <f>+'1. Etapa'!J13+'1. Etapa'!J14+'1. Etapa'!J15+'1. Etapa'!J20+'1. Etapa'!J22+'1. Etapa'!J25+'1. Etapa'!J26+'1. Etapa'!J32+'1. Etapa'!J35</f>
        <v>0</v>
      </c>
      <c r="K52">
        <f>IF(COUNTA(F13,F14,F15,F20,F22,F25,F26,F32,F35)=1,0,1)</f>
        <v>1</v>
      </c>
      <c r="L52" s="1">
        <f>SUMIF(F13:F15,"=x",J13:J15)+SUMIF(F20,"X",J20)+SUMIF(F22,"X",J22)+SUMIF(F25:F26,"X",J25:J26)+SUMIF(F32,"X",J32)+SUMIF(F35,"X",J35)</f>
        <v>0</v>
      </c>
    </row>
    <row r="53" spans="8:12" hidden="1" x14ac:dyDescent="0.25">
      <c r="I53" t="s">
        <v>4</v>
      </c>
      <c r="J53">
        <f>+'1. Etapa'!J19+'1. Etapa'!J23+'1. Etapa'!J24+'1. Etapa'!J27+'1. Etapa'!J28+'1. Etapa'!J29+'1. Etapa'!J30+'1. Etapa'!J33</f>
        <v>0</v>
      </c>
      <c r="K53">
        <f>IF(COUNTA(F19,F23,F24,F27,F28,F29,F30,F33)=1,0,1)</f>
        <v>1</v>
      </c>
      <c r="L53" s="1">
        <f>SUMIF(F23:F24,"=x",J23:J24)+SUMIF(F27:F30,"X",J27:J30)+SUMIF(F19,"X",J19)+SUMIF(F33,"X",J33)</f>
        <v>0</v>
      </c>
    </row>
    <row r="54" spans="8:12" hidden="1" x14ac:dyDescent="0.25"/>
    <row r="55" spans="8:12" hidden="1" x14ac:dyDescent="0.25"/>
    <row r="56" spans="8:12" hidden="1" x14ac:dyDescent="0.25"/>
    <row r="57" spans="8:12" hidden="1" x14ac:dyDescent="0.25">
      <c r="H57" s="65" t="s">
        <v>59</v>
      </c>
      <c r="I57">
        <f>IF(L49&gt;=4,"REVER",0)</f>
        <v>0</v>
      </c>
      <c r="L57" t="s">
        <v>60</v>
      </c>
    </row>
    <row r="58" spans="8:12" hidden="1" x14ac:dyDescent="0.25">
      <c r="H58" s="65" t="s">
        <v>60</v>
      </c>
      <c r="I58">
        <f>IF(L50&gt;=4,"PENSER",0)</f>
        <v>0</v>
      </c>
    </row>
    <row r="59" spans="8:12" hidden="1" x14ac:dyDescent="0.25">
      <c r="H59" s="65" t="s">
        <v>61</v>
      </c>
      <c r="I59">
        <f>IF(L51&gt;=4,"TESTER",0)</f>
        <v>0</v>
      </c>
    </row>
    <row r="60" spans="8:12" hidden="1" x14ac:dyDescent="0.25">
      <c r="H60" s="65" t="s">
        <v>62</v>
      </c>
      <c r="I60">
        <f>IF(L52&gt;=4,"DEMARRER",0)</f>
        <v>0</v>
      </c>
    </row>
    <row r="61" spans="8:12" hidden="1" x14ac:dyDescent="0.25">
      <c r="H61" s="65" t="s">
        <v>63</v>
      </c>
      <c r="I61">
        <f>IF(L53&gt;=4,"CROITRE",0)</f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59999389629810485"/>
  </sheetPr>
  <dimension ref="A2:K19"/>
  <sheetViews>
    <sheetView showGridLines="0" topLeftCell="A4" zoomScaleNormal="100" workbookViewId="0">
      <selection activeCell="B8" sqref="B8:C8"/>
    </sheetView>
  </sheetViews>
  <sheetFormatPr baseColWidth="10" defaultColWidth="0" defaultRowHeight="15" x14ac:dyDescent="0.25"/>
  <cols>
    <col min="1" max="2" width="11.42578125" customWidth="1"/>
    <col min="3" max="3" width="53.42578125" customWidth="1"/>
    <col min="4" max="4" width="3.42578125" customWidth="1"/>
    <col min="5" max="5" width="0.85546875" hidden="1" customWidth="1"/>
    <col min="6" max="6" width="6.42578125" hidden="1" customWidth="1"/>
    <col min="7" max="7" width="23.140625" hidden="1" customWidth="1"/>
    <col min="8" max="8" width="20.140625" hidden="1" customWidth="1"/>
    <col min="9" max="9" width="21.140625" hidden="1" customWidth="1"/>
    <col min="10" max="10" width="23.28515625" hidden="1" customWidth="1"/>
    <col min="11" max="11" width="22.140625" hidden="1" customWidth="1"/>
    <col min="12" max="16384" width="10.85546875" hidden="1"/>
  </cols>
  <sheetData>
    <row r="2" spans="1:11" x14ac:dyDescent="0.25">
      <c r="G2" s="19" t="s">
        <v>59</v>
      </c>
      <c r="H2" s="18" t="s">
        <v>60</v>
      </c>
      <c r="I2" s="18" t="s">
        <v>61</v>
      </c>
      <c r="J2" s="18" t="s">
        <v>62</v>
      </c>
      <c r="K2" s="18" t="s">
        <v>63</v>
      </c>
    </row>
    <row r="3" spans="1:11" ht="290.10000000000002" customHeight="1" x14ac:dyDescent="0.25">
      <c r="G3" s="13" t="s">
        <v>67</v>
      </c>
      <c r="H3" s="13" t="s">
        <v>68</v>
      </c>
      <c r="I3" s="13" t="s">
        <v>69</v>
      </c>
      <c r="J3" s="13" t="s">
        <v>70</v>
      </c>
      <c r="K3" s="13" t="s">
        <v>71</v>
      </c>
    </row>
    <row r="6" spans="1:11" x14ac:dyDescent="0.25">
      <c r="G6" s="12"/>
    </row>
    <row r="7" spans="1:11" ht="26.45" customHeight="1" x14ac:dyDescent="0.25">
      <c r="A7" s="91" t="s">
        <v>64</v>
      </c>
      <c r="B7" s="114" t="s">
        <v>182</v>
      </c>
      <c r="C7" s="115"/>
      <c r="G7" s="12"/>
    </row>
    <row r="8" spans="1:11" ht="140.25" customHeight="1" x14ac:dyDescent="0.25">
      <c r="A8" s="74" t="s">
        <v>65</v>
      </c>
      <c r="B8" s="116" t="s">
        <v>186</v>
      </c>
      <c r="C8" s="117"/>
    </row>
    <row r="9" spans="1:11" ht="21" x14ac:dyDescent="0.25">
      <c r="A9" s="91" t="s">
        <v>64</v>
      </c>
      <c r="B9" s="114" t="s">
        <v>60</v>
      </c>
      <c r="C9" s="115"/>
    </row>
    <row r="10" spans="1:11" ht="102" customHeight="1" x14ac:dyDescent="0.25">
      <c r="A10" s="74" t="s">
        <v>65</v>
      </c>
      <c r="B10" s="116" t="s">
        <v>187</v>
      </c>
      <c r="C10" s="117"/>
    </row>
    <row r="11" spans="1:11" ht="21" x14ac:dyDescent="0.25">
      <c r="A11" s="91" t="s">
        <v>64</v>
      </c>
      <c r="B11" s="114" t="s">
        <v>188</v>
      </c>
      <c r="C11" s="115"/>
    </row>
    <row r="12" spans="1:11" ht="153" customHeight="1" x14ac:dyDescent="0.25">
      <c r="A12" s="74" t="s">
        <v>65</v>
      </c>
      <c r="B12" s="116" t="s">
        <v>189</v>
      </c>
      <c r="C12" s="117"/>
    </row>
    <row r="13" spans="1:11" ht="21" x14ac:dyDescent="0.25">
      <c r="A13" s="91" t="s">
        <v>64</v>
      </c>
      <c r="B13" s="114" t="s">
        <v>62</v>
      </c>
      <c r="C13" s="115"/>
    </row>
    <row r="14" spans="1:11" ht="140.25" customHeight="1" x14ac:dyDescent="0.25">
      <c r="A14" s="74" t="s">
        <v>65</v>
      </c>
      <c r="B14" s="116" t="s">
        <v>190</v>
      </c>
      <c r="C14" s="117"/>
    </row>
    <row r="15" spans="1:11" ht="15.75" x14ac:dyDescent="0.25">
      <c r="A15" s="83"/>
      <c r="B15" s="83"/>
      <c r="C15" s="84"/>
    </row>
    <row r="16" spans="1:11" ht="15.75" x14ac:dyDescent="0.25">
      <c r="A16" s="83"/>
      <c r="B16" s="83"/>
      <c r="C16" s="84"/>
    </row>
    <row r="17" spans="1:2" x14ac:dyDescent="0.25">
      <c r="A17" s="18"/>
      <c r="B17" s="18"/>
    </row>
    <row r="18" spans="1:2" x14ac:dyDescent="0.25">
      <c r="A18" s="18"/>
      <c r="B18" s="18"/>
    </row>
    <row r="19" spans="1:2" x14ac:dyDescent="0.25">
      <c r="A19" s="18"/>
      <c r="B19" s="18"/>
    </row>
  </sheetData>
  <mergeCells count="8">
    <mergeCell ref="B7:C7"/>
    <mergeCell ref="B8:C8"/>
    <mergeCell ref="B13:C13"/>
    <mergeCell ref="B14:C14"/>
    <mergeCell ref="B10:C10"/>
    <mergeCell ref="B12:C12"/>
    <mergeCell ref="B9:C9"/>
    <mergeCell ref="B11:C1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59999389629810485"/>
  </sheetPr>
  <dimension ref="A1:C14"/>
  <sheetViews>
    <sheetView showGridLines="0" topLeftCell="A4" workbookViewId="0">
      <selection activeCell="B9" sqref="B9"/>
    </sheetView>
  </sheetViews>
  <sheetFormatPr baseColWidth="10" defaultColWidth="0" defaultRowHeight="15" zeroHeight="1" x14ac:dyDescent="0.25"/>
  <cols>
    <col min="1" max="1" width="7.42578125" customWidth="1"/>
    <col min="2" max="2" width="87.7109375" customWidth="1"/>
    <col min="3" max="3" width="6.28515625" customWidth="1"/>
    <col min="4" max="16384" width="10.85546875" hidden="1"/>
  </cols>
  <sheetData>
    <row r="1" spans="2:2" x14ac:dyDescent="0.25"/>
    <row r="2" spans="2:2" x14ac:dyDescent="0.25"/>
    <row r="3" spans="2:2" ht="23.1" customHeight="1" x14ac:dyDescent="0.25">
      <c r="B3" s="90" t="s">
        <v>200</v>
      </c>
    </row>
    <row r="4" spans="2:2" ht="120" x14ac:dyDescent="0.25">
      <c r="B4" s="17" t="s">
        <v>103</v>
      </c>
    </row>
    <row r="5" spans="2:2" ht="36.950000000000003" customHeight="1" x14ac:dyDescent="0.25">
      <c r="B5" s="17" t="s">
        <v>104</v>
      </c>
    </row>
    <row r="6" spans="2:2" x14ac:dyDescent="0.25"/>
    <row r="7" spans="2:2" ht="30" x14ac:dyDescent="0.25">
      <c r="B7" s="12" t="s">
        <v>105</v>
      </c>
    </row>
    <row r="8" spans="2:2" x14ac:dyDescent="0.25"/>
    <row r="9" spans="2:2" x14ac:dyDescent="0.25"/>
    <row r="10" spans="2:2" x14ac:dyDescent="0.25"/>
    <row r="11" spans="2:2" x14ac:dyDescent="0.25"/>
    <row r="12" spans="2:2" x14ac:dyDescent="0.25"/>
    <row r="13" spans="2:2" x14ac:dyDescent="0.25"/>
    <row r="14" spans="2:2" x14ac:dyDescent="0.25"/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T110"/>
  <sheetViews>
    <sheetView showGridLines="0" workbookViewId="0"/>
  </sheetViews>
  <sheetFormatPr baseColWidth="10" defaultColWidth="0" defaultRowHeight="15" zeroHeight="1" x14ac:dyDescent="0.25"/>
  <cols>
    <col min="1" max="1" width="4.5703125" customWidth="1"/>
    <col min="2" max="2" width="59.7109375" customWidth="1"/>
    <col min="3" max="3" width="7.7109375" customWidth="1"/>
    <col min="4" max="4" width="8.85546875" customWidth="1"/>
    <col min="5" max="5" width="7" bestFit="1" customWidth="1"/>
    <col min="6" max="6" width="4.7109375" style="24" customWidth="1"/>
    <col min="7" max="7" width="3.7109375" style="24" hidden="1" customWidth="1"/>
    <col min="8" max="8" width="5.7109375" style="24" hidden="1" customWidth="1"/>
    <col min="9" max="9" width="6.42578125" style="24" hidden="1" customWidth="1"/>
    <col min="10" max="10" width="5.85546875" style="24" hidden="1" customWidth="1"/>
    <col min="11" max="11" width="6" style="24" hidden="1" customWidth="1"/>
    <col min="12" max="12" width="37.42578125" style="24" hidden="1" customWidth="1"/>
    <col min="13" max="13" width="30" style="24" hidden="1" customWidth="1"/>
    <col min="14" max="14" width="29.85546875" style="24" hidden="1" customWidth="1"/>
    <col min="15" max="15" width="4.42578125" style="24" hidden="1" customWidth="1"/>
    <col min="16" max="16" width="29.140625" style="24" hidden="1" customWidth="1"/>
    <col min="17" max="20" width="11.42578125" style="24" hidden="1" customWidth="1"/>
    <col min="21" max="16384" width="11.42578125" hidden="1"/>
  </cols>
  <sheetData>
    <row r="1" spans="1:14" ht="26.45" customHeight="1" x14ac:dyDescent="0.25">
      <c r="A1" s="44"/>
      <c r="B1" s="118" t="s">
        <v>72</v>
      </c>
      <c r="C1" s="118"/>
      <c r="D1" s="118"/>
      <c r="E1" s="118"/>
      <c r="F1" s="44"/>
      <c r="K1" s="24">
        <v>78</v>
      </c>
    </row>
    <row r="2" spans="1:14" ht="18.95" customHeight="1" x14ac:dyDescent="0.25">
      <c r="A2" s="44"/>
      <c r="B2" s="45" t="s">
        <v>102</v>
      </c>
      <c r="C2" s="46"/>
      <c r="D2" s="46"/>
      <c r="E2" s="46"/>
      <c r="F2" s="44"/>
    </row>
    <row r="3" spans="1:14" ht="9.9499999999999993" customHeight="1" x14ac:dyDescent="0.25">
      <c r="A3" s="44"/>
      <c r="B3" s="47">
        <f>+Clasificacion!L5</f>
        <v>0</v>
      </c>
      <c r="C3" s="48"/>
      <c r="D3" s="48"/>
      <c r="E3" s="48"/>
      <c r="F3" s="44"/>
      <c r="H3" s="24">
        <f>COUNTIF(V._FT,1)</f>
        <v>0</v>
      </c>
      <c r="I3" s="24">
        <f>COUNTIF(V._M,1)</f>
        <v>0</v>
      </c>
      <c r="J3" s="24">
        <f>COUNTIF(V._FB,1)</f>
        <v>0</v>
      </c>
      <c r="K3" s="24">
        <f>SUM(H3:J3)</f>
        <v>0</v>
      </c>
    </row>
    <row r="4" spans="1:14" ht="27.95" customHeight="1" x14ac:dyDescent="0.25">
      <c r="A4" s="44"/>
      <c r="B4" s="96" t="s">
        <v>73</v>
      </c>
      <c r="C4" s="94" t="s">
        <v>74</v>
      </c>
      <c r="D4" s="94" t="s">
        <v>75</v>
      </c>
      <c r="E4" s="94" t="s">
        <v>101</v>
      </c>
      <c r="F4" s="44"/>
      <c r="H4" s="27" t="s">
        <v>11</v>
      </c>
      <c r="I4" s="27" t="s">
        <v>9</v>
      </c>
      <c r="J4" s="27" t="s">
        <v>12</v>
      </c>
      <c r="K4" s="24">
        <v>1</v>
      </c>
      <c r="L4" s="28" t="s">
        <v>6</v>
      </c>
      <c r="M4" s="28" t="s">
        <v>7</v>
      </c>
      <c r="N4" s="28" t="s">
        <v>8</v>
      </c>
    </row>
    <row r="5" spans="1:14" ht="21" customHeight="1" x14ac:dyDescent="0.25">
      <c r="A5" s="44"/>
      <c r="B5" s="49" t="s">
        <v>76</v>
      </c>
      <c r="C5" s="63"/>
      <c r="D5" s="63"/>
      <c r="E5" s="63"/>
      <c r="F5" s="44"/>
      <c r="H5" s="25">
        <f>IF(COUNTA(C5)=1,1,0)</f>
        <v>0</v>
      </c>
      <c r="I5" s="25">
        <f t="shared" ref="I5:J5" si="0">IF(COUNTA(D5)=1,1,0)</f>
        <v>0</v>
      </c>
      <c r="J5" s="25">
        <f t="shared" si="0"/>
        <v>0</v>
      </c>
      <c r="L5" s="26">
        <f t="shared" ref="L5:L36" si="1">+IF(H5:H101=1,B5:B101,0)</f>
        <v>0</v>
      </c>
      <c r="M5" s="26">
        <f t="shared" ref="M5:M36" si="2">+IF(I5:I101=1,B5:B101,0)</f>
        <v>0</v>
      </c>
      <c r="N5" s="26">
        <f t="shared" ref="N5:N36" si="3">+IF(J5:J101=1,B5:B101,0)</f>
        <v>0</v>
      </c>
    </row>
    <row r="6" spans="1:14" ht="21" customHeight="1" x14ac:dyDescent="0.25">
      <c r="A6" s="44"/>
      <c r="B6" s="49" t="s">
        <v>77</v>
      </c>
      <c r="C6" s="63"/>
      <c r="D6" s="63"/>
      <c r="E6" s="63"/>
      <c r="F6" s="44"/>
      <c r="H6" s="25">
        <f t="shared" ref="H6:H10" si="4">IF(COUNTA(C6)=1,1,0)</f>
        <v>0</v>
      </c>
      <c r="I6" s="25">
        <f t="shared" ref="I6:I11" si="5">IF(COUNTA(D6)=1,1,0)</f>
        <v>0</v>
      </c>
      <c r="J6" s="25">
        <f t="shared" ref="J6:J11" si="6">IF(COUNTA(E6)=1,1,0)</f>
        <v>0</v>
      </c>
      <c r="L6" s="26">
        <f t="shared" si="1"/>
        <v>0</v>
      </c>
      <c r="M6" s="26">
        <f t="shared" si="2"/>
        <v>0</v>
      </c>
      <c r="N6" s="26">
        <f t="shared" si="3"/>
        <v>0</v>
      </c>
    </row>
    <row r="7" spans="1:14" ht="21" customHeight="1" x14ac:dyDescent="0.25">
      <c r="A7" s="44"/>
      <c r="B7" s="49" t="s">
        <v>78</v>
      </c>
      <c r="C7" s="63"/>
      <c r="D7" s="63"/>
      <c r="E7" s="63"/>
      <c r="F7" s="44"/>
      <c r="H7" s="25">
        <f t="shared" si="4"/>
        <v>0</v>
      </c>
      <c r="I7" s="25">
        <f t="shared" si="5"/>
        <v>0</v>
      </c>
      <c r="J7" s="25">
        <f t="shared" si="6"/>
        <v>0</v>
      </c>
      <c r="L7" s="26">
        <f t="shared" si="1"/>
        <v>0</v>
      </c>
      <c r="M7" s="26">
        <f t="shared" si="2"/>
        <v>0</v>
      </c>
      <c r="N7" s="26">
        <f t="shared" si="3"/>
        <v>0</v>
      </c>
    </row>
    <row r="8" spans="1:14" ht="21" customHeight="1" x14ac:dyDescent="0.25">
      <c r="A8" s="44"/>
      <c r="B8" s="49" t="s">
        <v>79</v>
      </c>
      <c r="C8" s="63"/>
      <c r="D8" s="63"/>
      <c r="E8" s="63"/>
      <c r="F8" s="44"/>
      <c r="H8" s="25">
        <f t="shared" si="4"/>
        <v>0</v>
      </c>
      <c r="I8" s="25">
        <f t="shared" si="5"/>
        <v>0</v>
      </c>
      <c r="J8" s="25">
        <f t="shared" si="6"/>
        <v>0</v>
      </c>
      <c r="L8" s="26">
        <f t="shared" si="1"/>
        <v>0</v>
      </c>
      <c r="M8" s="26">
        <f t="shared" si="2"/>
        <v>0</v>
      </c>
      <c r="N8" s="26">
        <f t="shared" si="3"/>
        <v>0</v>
      </c>
    </row>
    <row r="9" spans="1:14" ht="21" customHeight="1" x14ac:dyDescent="0.25">
      <c r="A9" s="44"/>
      <c r="B9" s="49" t="s">
        <v>80</v>
      </c>
      <c r="C9" s="63"/>
      <c r="D9" s="63"/>
      <c r="E9" s="63"/>
      <c r="F9" s="44"/>
      <c r="H9" s="25">
        <f t="shared" si="4"/>
        <v>0</v>
      </c>
      <c r="I9" s="25">
        <f t="shared" si="5"/>
        <v>0</v>
      </c>
      <c r="J9" s="25">
        <f t="shared" si="6"/>
        <v>0</v>
      </c>
      <c r="L9" s="26">
        <f t="shared" si="1"/>
        <v>0</v>
      </c>
      <c r="M9" s="26">
        <f t="shared" si="2"/>
        <v>0</v>
      </c>
      <c r="N9" s="26">
        <f t="shared" si="3"/>
        <v>0</v>
      </c>
    </row>
    <row r="10" spans="1:14" ht="21" customHeight="1" x14ac:dyDescent="0.25">
      <c r="A10" s="44"/>
      <c r="B10" s="49" t="s">
        <v>81</v>
      </c>
      <c r="C10" s="63"/>
      <c r="D10" s="63"/>
      <c r="E10" s="63"/>
      <c r="F10" s="44"/>
      <c r="H10" s="25">
        <f t="shared" si="4"/>
        <v>0</v>
      </c>
      <c r="I10" s="25">
        <f t="shared" si="5"/>
        <v>0</v>
      </c>
      <c r="J10" s="25">
        <f t="shared" si="6"/>
        <v>0</v>
      </c>
      <c r="L10" s="26">
        <f t="shared" si="1"/>
        <v>0</v>
      </c>
      <c r="M10" s="26">
        <f t="shared" si="2"/>
        <v>0</v>
      </c>
      <c r="N10" s="26">
        <f t="shared" si="3"/>
        <v>0</v>
      </c>
    </row>
    <row r="11" spans="1:14" ht="21" customHeight="1" x14ac:dyDescent="0.25">
      <c r="A11" s="44"/>
      <c r="B11" s="49" t="s">
        <v>82</v>
      </c>
      <c r="C11" s="63"/>
      <c r="D11" s="63"/>
      <c r="E11" s="63"/>
      <c r="F11" s="44"/>
      <c r="H11" s="25">
        <f t="shared" ref="H11:H69" si="7">IF(COUNTA(C11)=1,1,0)</f>
        <v>0</v>
      </c>
      <c r="I11" s="25">
        <f t="shared" si="5"/>
        <v>0</v>
      </c>
      <c r="J11" s="25">
        <f t="shared" si="6"/>
        <v>0</v>
      </c>
      <c r="L11" s="26">
        <f t="shared" si="1"/>
        <v>0</v>
      </c>
      <c r="M11" s="26">
        <f t="shared" si="2"/>
        <v>0</v>
      </c>
      <c r="N11" s="26">
        <f t="shared" si="3"/>
        <v>0</v>
      </c>
    </row>
    <row r="12" spans="1:14" ht="21" customHeight="1" x14ac:dyDescent="0.25">
      <c r="A12" s="44"/>
      <c r="B12" s="49" t="s">
        <v>83</v>
      </c>
      <c r="C12" s="63"/>
      <c r="D12" s="63"/>
      <c r="E12" s="63"/>
      <c r="F12" s="44"/>
      <c r="H12" s="25">
        <f t="shared" si="7"/>
        <v>0</v>
      </c>
      <c r="I12" s="25">
        <f t="shared" ref="I12:I72" si="8">IF(COUNTA(D12)=1,1,0)</f>
        <v>0</v>
      </c>
      <c r="J12" s="25">
        <f t="shared" ref="J12:J72" si="9">IF(COUNTA(E12)=1,1,0)</f>
        <v>0</v>
      </c>
      <c r="L12" s="26">
        <f t="shared" si="1"/>
        <v>0</v>
      </c>
      <c r="M12" s="26">
        <f t="shared" si="2"/>
        <v>0</v>
      </c>
      <c r="N12" s="26">
        <f t="shared" si="3"/>
        <v>0</v>
      </c>
    </row>
    <row r="13" spans="1:14" ht="21" customHeight="1" x14ac:dyDescent="0.25">
      <c r="A13" s="44"/>
      <c r="B13" s="49" t="s">
        <v>84</v>
      </c>
      <c r="C13" s="63"/>
      <c r="D13" s="63"/>
      <c r="E13" s="63"/>
      <c r="F13" s="44"/>
      <c r="H13" s="25">
        <f t="shared" si="7"/>
        <v>0</v>
      </c>
      <c r="I13" s="25">
        <f t="shared" si="8"/>
        <v>0</v>
      </c>
      <c r="J13" s="25">
        <f t="shared" si="9"/>
        <v>0</v>
      </c>
      <c r="L13" s="26">
        <f t="shared" si="1"/>
        <v>0</v>
      </c>
      <c r="M13" s="26">
        <f t="shared" si="2"/>
        <v>0</v>
      </c>
      <c r="N13" s="26">
        <f t="shared" si="3"/>
        <v>0</v>
      </c>
    </row>
    <row r="14" spans="1:14" ht="21" customHeight="1" x14ac:dyDescent="0.25">
      <c r="A14" s="44"/>
      <c r="B14" s="49" t="s">
        <v>85</v>
      </c>
      <c r="C14" s="63"/>
      <c r="D14" s="63"/>
      <c r="E14" s="63"/>
      <c r="F14" s="44"/>
      <c r="H14" s="25">
        <f t="shared" si="7"/>
        <v>0</v>
      </c>
      <c r="I14" s="25">
        <f t="shared" si="8"/>
        <v>0</v>
      </c>
      <c r="J14" s="25">
        <f t="shared" si="9"/>
        <v>0</v>
      </c>
      <c r="L14" s="26">
        <f t="shared" si="1"/>
        <v>0</v>
      </c>
      <c r="M14" s="26">
        <f t="shared" si="2"/>
        <v>0</v>
      </c>
      <c r="N14" s="26">
        <f t="shared" si="3"/>
        <v>0</v>
      </c>
    </row>
    <row r="15" spans="1:14" ht="21" customHeight="1" x14ac:dyDescent="0.25">
      <c r="A15" s="44"/>
      <c r="B15" s="49" t="s">
        <v>86</v>
      </c>
      <c r="C15" s="63"/>
      <c r="D15" s="63"/>
      <c r="E15" s="63"/>
      <c r="F15" s="44"/>
      <c r="H15" s="25">
        <f t="shared" si="7"/>
        <v>0</v>
      </c>
      <c r="I15" s="25">
        <f t="shared" si="8"/>
        <v>0</v>
      </c>
      <c r="J15" s="25">
        <f t="shared" si="9"/>
        <v>0</v>
      </c>
      <c r="L15" s="26">
        <f t="shared" si="1"/>
        <v>0</v>
      </c>
      <c r="M15" s="26">
        <f t="shared" si="2"/>
        <v>0</v>
      </c>
      <c r="N15" s="26">
        <f t="shared" si="3"/>
        <v>0</v>
      </c>
    </row>
    <row r="16" spans="1:14" ht="21" customHeight="1" x14ac:dyDescent="0.25">
      <c r="A16" s="44"/>
      <c r="B16" s="49" t="s">
        <v>87</v>
      </c>
      <c r="C16" s="63"/>
      <c r="D16" s="63"/>
      <c r="E16" s="63"/>
      <c r="F16" s="44"/>
      <c r="H16" s="25">
        <f t="shared" si="7"/>
        <v>0</v>
      </c>
      <c r="I16" s="25">
        <f t="shared" si="8"/>
        <v>0</v>
      </c>
      <c r="J16" s="25">
        <f t="shared" si="9"/>
        <v>0</v>
      </c>
      <c r="L16" s="26">
        <f t="shared" si="1"/>
        <v>0</v>
      </c>
      <c r="M16" s="26">
        <f t="shared" si="2"/>
        <v>0</v>
      </c>
      <c r="N16" s="26">
        <f t="shared" si="3"/>
        <v>0</v>
      </c>
    </row>
    <row r="17" spans="1:14" ht="21" customHeight="1" x14ac:dyDescent="0.25">
      <c r="A17" s="44"/>
      <c r="B17" s="49" t="s">
        <v>88</v>
      </c>
      <c r="C17" s="63"/>
      <c r="D17" s="63"/>
      <c r="E17" s="63"/>
      <c r="F17" s="44"/>
      <c r="H17" s="25">
        <f t="shared" si="7"/>
        <v>0</v>
      </c>
      <c r="I17" s="25">
        <f t="shared" si="8"/>
        <v>0</v>
      </c>
      <c r="J17" s="25">
        <f t="shared" si="9"/>
        <v>0</v>
      </c>
      <c r="L17" s="26">
        <f t="shared" si="1"/>
        <v>0</v>
      </c>
      <c r="M17" s="26">
        <f t="shared" si="2"/>
        <v>0</v>
      </c>
      <c r="N17" s="26">
        <f t="shared" si="3"/>
        <v>0</v>
      </c>
    </row>
    <row r="18" spans="1:14" ht="21" customHeight="1" x14ac:dyDescent="0.25">
      <c r="A18" s="44"/>
      <c r="B18" s="49" t="s">
        <v>89</v>
      </c>
      <c r="C18" s="63"/>
      <c r="D18" s="63"/>
      <c r="E18" s="63"/>
      <c r="F18" s="44"/>
      <c r="H18" s="25">
        <f t="shared" si="7"/>
        <v>0</v>
      </c>
      <c r="I18" s="25">
        <f t="shared" si="8"/>
        <v>0</v>
      </c>
      <c r="J18" s="25">
        <f t="shared" si="9"/>
        <v>0</v>
      </c>
      <c r="L18" s="26">
        <f t="shared" si="1"/>
        <v>0</v>
      </c>
      <c r="M18" s="26">
        <f t="shared" si="2"/>
        <v>0</v>
      </c>
      <c r="N18" s="26">
        <f t="shared" si="3"/>
        <v>0</v>
      </c>
    </row>
    <row r="19" spans="1:14" ht="21" customHeight="1" x14ac:dyDescent="0.25">
      <c r="A19" s="44"/>
      <c r="B19" s="49" t="s">
        <v>90</v>
      </c>
      <c r="C19" s="63"/>
      <c r="D19" s="63"/>
      <c r="E19" s="63"/>
      <c r="F19" s="44"/>
      <c r="H19" s="25">
        <f t="shared" si="7"/>
        <v>0</v>
      </c>
      <c r="I19" s="25">
        <f t="shared" si="8"/>
        <v>0</v>
      </c>
      <c r="J19" s="25">
        <f t="shared" si="9"/>
        <v>0</v>
      </c>
      <c r="L19" s="26">
        <f t="shared" si="1"/>
        <v>0</v>
      </c>
      <c r="M19" s="26">
        <f t="shared" si="2"/>
        <v>0</v>
      </c>
      <c r="N19" s="26">
        <f t="shared" si="3"/>
        <v>0</v>
      </c>
    </row>
    <row r="20" spans="1:14" ht="21" customHeight="1" x14ac:dyDescent="0.25">
      <c r="A20" s="44"/>
      <c r="B20" s="49" t="s">
        <v>91</v>
      </c>
      <c r="C20" s="63"/>
      <c r="D20" s="63"/>
      <c r="E20" s="63"/>
      <c r="F20" s="44"/>
      <c r="H20" s="25">
        <f t="shared" si="7"/>
        <v>0</v>
      </c>
      <c r="I20" s="25">
        <f t="shared" si="8"/>
        <v>0</v>
      </c>
      <c r="J20" s="25">
        <f t="shared" si="9"/>
        <v>0</v>
      </c>
      <c r="L20" s="26">
        <f t="shared" si="1"/>
        <v>0</v>
      </c>
      <c r="M20" s="26">
        <f t="shared" si="2"/>
        <v>0</v>
      </c>
      <c r="N20" s="26">
        <f t="shared" si="3"/>
        <v>0</v>
      </c>
    </row>
    <row r="21" spans="1:14" ht="21" customHeight="1" x14ac:dyDescent="0.25">
      <c r="A21" s="44"/>
      <c r="B21" s="49" t="s">
        <v>92</v>
      </c>
      <c r="C21" s="63"/>
      <c r="D21" s="63"/>
      <c r="E21" s="63"/>
      <c r="F21" s="44"/>
      <c r="H21" s="25">
        <f t="shared" si="7"/>
        <v>0</v>
      </c>
      <c r="I21" s="25">
        <f t="shared" si="8"/>
        <v>0</v>
      </c>
      <c r="J21" s="25">
        <f t="shared" si="9"/>
        <v>0</v>
      </c>
      <c r="L21" s="26">
        <f t="shared" si="1"/>
        <v>0</v>
      </c>
      <c r="M21" s="26">
        <f t="shared" si="2"/>
        <v>0</v>
      </c>
      <c r="N21" s="26">
        <f t="shared" si="3"/>
        <v>0</v>
      </c>
    </row>
    <row r="22" spans="1:14" ht="21" customHeight="1" x14ac:dyDescent="0.25">
      <c r="A22" s="44"/>
      <c r="B22" s="49" t="s">
        <v>93</v>
      </c>
      <c r="C22" s="63"/>
      <c r="D22" s="63"/>
      <c r="E22" s="63"/>
      <c r="F22" s="44"/>
      <c r="H22" s="25">
        <f t="shared" si="7"/>
        <v>0</v>
      </c>
      <c r="I22" s="25">
        <f t="shared" si="8"/>
        <v>0</v>
      </c>
      <c r="J22" s="25">
        <f t="shared" si="9"/>
        <v>0</v>
      </c>
      <c r="L22" s="26">
        <f t="shared" si="1"/>
        <v>0</v>
      </c>
      <c r="M22" s="26">
        <f t="shared" si="2"/>
        <v>0</v>
      </c>
      <c r="N22" s="26">
        <f t="shared" si="3"/>
        <v>0</v>
      </c>
    </row>
    <row r="23" spans="1:14" ht="21" customHeight="1" x14ac:dyDescent="0.25">
      <c r="A23" s="44"/>
      <c r="B23" s="49" t="s">
        <v>94</v>
      </c>
      <c r="C23" s="63"/>
      <c r="D23" s="63"/>
      <c r="E23" s="63"/>
      <c r="F23" s="44"/>
      <c r="H23" s="25">
        <f t="shared" si="7"/>
        <v>0</v>
      </c>
      <c r="I23" s="25">
        <f t="shared" si="8"/>
        <v>0</v>
      </c>
      <c r="J23" s="25">
        <f t="shared" si="9"/>
        <v>0</v>
      </c>
      <c r="L23" s="26">
        <f t="shared" si="1"/>
        <v>0</v>
      </c>
      <c r="M23" s="26">
        <f t="shared" si="2"/>
        <v>0</v>
      </c>
      <c r="N23" s="26">
        <f t="shared" si="3"/>
        <v>0</v>
      </c>
    </row>
    <row r="24" spans="1:14" ht="25.5" customHeight="1" x14ac:dyDescent="0.25">
      <c r="A24" s="44"/>
      <c r="B24" s="49" t="s">
        <v>95</v>
      </c>
      <c r="C24" s="63"/>
      <c r="D24" s="63"/>
      <c r="E24" s="63"/>
      <c r="F24" s="44"/>
      <c r="H24" s="25">
        <f t="shared" si="7"/>
        <v>0</v>
      </c>
      <c r="I24" s="25">
        <f t="shared" si="8"/>
        <v>0</v>
      </c>
      <c r="J24" s="25">
        <f t="shared" si="9"/>
        <v>0</v>
      </c>
      <c r="L24" s="26">
        <f t="shared" si="1"/>
        <v>0</v>
      </c>
      <c r="M24" s="26">
        <f t="shared" si="2"/>
        <v>0</v>
      </c>
      <c r="N24" s="26">
        <f t="shared" si="3"/>
        <v>0</v>
      </c>
    </row>
    <row r="25" spans="1:14" ht="21" customHeight="1" x14ac:dyDescent="0.25">
      <c r="A25" s="44"/>
      <c r="B25" s="49" t="s">
        <v>96</v>
      </c>
      <c r="C25" s="63"/>
      <c r="D25" s="63"/>
      <c r="E25" s="63"/>
      <c r="F25" s="44"/>
      <c r="H25" s="25">
        <f t="shared" si="7"/>
        <v>0</v>
      </c>
      <c r="I25" s="25">
        <f t="shared" si="8"/>
        <v>0</v>
      </c>
      <c r="J25" s="25">
        <f t="shared" si="9"/>
        <v>0</v>
      </c>
      <c r="L25" s="26">
        <f t="shared" si="1"/>
        <v>0</v>
      </c>
      <c r="M25" s="26">
        <f t="shared" si="2"/>
        <v>0</v>
      </c>
      <c r="N25" s="26">
        <f t="shared" si="3"/>
        <v>0</v>
      </c>
    </row>
    <row r="26" spans="1:14" ht="21" customHeight="1" x14ac:dyDescent="0.25">
      <c r="A26" s="44"/>
      <c r="B26" s="49" t="s">
        <v>97</v>
      </c>
      <c r="C26" s="63"/>
      <c r="D26" s="63"/>
      <c r="E26" s="63"/>
      <c r="F26" s="44"/>
      <c r="H26" s="25">
        <f t="shared" si="7"/>
        <v>0</v>
      </c>
      <c r="I26" s="25">
        <f t="shared" si="8"/>
        <v>0</v>
      </c>
      <c r="J26" s="25">
        <f t="shared" si="9"/>
        <v>0</v>
      </c>
      <c r="L26" s="26">
        <f t="shared" si="1"/>
        <v>0</v>
      </c>
      <c r="M26" s="26">
        <f t="shared" si="2"/>
        <v>0</v>
      </c>
      <c r="N26" s="26">
        <f t="shared" si="3"/>
        <v>0</v>
      </c>
    </row>
    <row r="27" spans="1:14" ht="21.6" customHeight="1" x14ac:dyDescent="0.25">
      <c r="A27" s="44"/>
      <c r="B27" s="49" t="s">
        <v>98</v>
      </c>
      <c r="C27" s="63"/>
      <c r="D27" s="63"/>
      <c r="E27" s="63"/>
      <c r="F27" s="44"/>
      <c r="H27" s="25">
        <f t="shared" si="7"/>
        <v>0</v>
      </c>
      <c r="I27" s="25">
        <f t="shared" si="8"/>
        <v>0</v>
      </c>
      <c r="J27" s="25">
        <f t="shared" si="9"/>
        <v>0</v>
      </c>
      <c r="L27" s="26">
        <f t="shared" si="1"/>
        <v>0</v>
      </c>
      <c r="M27" s="26">
        <f t="shared" si="2"/>
        <v>0</v>
      </c>
      <c r="N27" s="26">
        <f t="shared" si="3"/>
        <v>0</v>
      </c>
    </row>
    <row r="28" spans="1:14" ht="21" customHeight="1" x14ac:dyDescent="0.25">
      <c r="A28" s="44"/>
      <c r="B28" s="49" t="s">
        <v>99</v>
      </c>
      <c r="C28" s="63"/>
      <c r="D28" s="63"/>
      <c r="E28" s="63"/>
      <c r="F28" s="44"/>
      <c r="H28" s="25">
        <f t="shared" si="7"/>
        <v>0</v>
      </c>
      <c r="I28" s="25">
        <f t="shared" si="8"/>
        <v>0</v>
      </c>
      <c r="J28" s="25">
        <f t="shared" si="9"/>
        <v>0</v>
      </c>
      <c r="L28" s="26">
        <f t="shared" si="1"/>
        <v>0</v>
      </c>
      <c r="M28" s="26">
        <f t="shared" si="2"/>
        <v>0</v>
      </c>
      <c r="N28" s="26">
        <f t="shared" si="3"/>
        <v>0</v>
      </c>
    </row>
    <row r="29" spans="1:14" ht="15.75" x14ac:dyDescent="0.25">
      <c r="A29" s="44"/>
      <c r="B29" s="119"/>
      <c r="C29" s="119"/>
      <c r="D29" s="50"/>
      <c r="E29" s="50"/>
      <c r="F29" s="44"/>
      <c r="H29" s="25"/>
      <c r="I29" s="25"/>
      <c r="J29" s="25"/>
      <c r="L29" s="26">
        <f t="shared" si="1"/>
        <v>0</v>
      </c>
      <c r="M29" s="26">
        <f t="shared" si="2"/>
        <v>0</v>
      </c>
      <c r="N29" s="26">
        <f t="shared" si="3"/>
        <v>0</v>
      </c>
    </row>
    <row r="30" spans="1:14" ht="21.6" customHeight="1" x14ac:dyDescent="0.25">
      <c r="A30" s="44"/>
      <c r="B30" s="95" t="s">
        <v>100</v>
      </c>
      <c r="C30" s="50"/>
      <c r="D30" s="50"/>
      <c r="E30" s="50"/>
      <c r="F30" s="44"/>
      <c r="H30" s="25"/>
      <c r="I30" s="25"/>
      <c r="J30" s="25"/>
      <c r="L30" s="26">
        <f t="shared" si="1"/>
        <v>0</v>
      </c>
      <c r="M30" s="26">
        <f t="shared" si="2"/>
        <v>0</v>
      </c>
      <c r="N30" s="26">
        <f t="shared" si="3"/>
        <v>0</v>
      </c>
    </row>
    <row r="31" spans="1:14" ht="27.6" customHeight="1" x14ac:dyDescent="0.25">
      <c r="A31" s="44"/>
      <c r="B31" s="51" t="s">
        <v>106</v>
      </c>
      <c r="C31" s="94" t="s">
        <v>74</v>
      </c>
      <c r="D31" s="94" t="s">
        <v>75</v>
      </c>
      <c r="E31" s="94" t="s">
        <v>101</v>
      </c>
      <c r="F31" s="44"/>
      <c r="H31" s="25"/>
      <c r="I31" s="25"/>
      <c r="J31" s="25"/>
      <c r="L31" s="26">
        <f t="shared" si="1"/>
        <v>0</v>
      </c>
      <c r="M31" s="26">
        <f t="shared" si="2"/>
        <v>0</v>
      </c>
      <c r="N31" s="26">
        <f t="shared" si="3"/>
        <v>0</v>
      </c>
    </row>
    <row r="32" spans="1:14" ht="21.6" customHeight="1" x14ac:dyDescent="0.25">
      <c r="A32" s="44"/>
      <c r="B32" s="49" t="s">
        <v>107</v>
      </c>
      <c r="C32" s="63"/>
      <c r="D32" s="63"/>
      <c r="E32" s="63"/>
      <c r="F32" s="44"/>
      <c r="H32" s="25">
        <f t="shared" si="7"/>
        <v>0</v>
      </c>
      <c r="I32" s="25">
        <f t="shared" si="8"/>
        <v>0</v>
      </c>
      <c r="J32" s="25">
        <f t="shared" si="9"/>
        <v>0</v>
      </c>
      <c r="L32" s="26">
        <f t="shared" si="1"/>
        <v>0</v>
      </c>
      <c r="M32" s="26">
        <f t="shared" si="2"/>
        <v>0</v>
      </c>
      <c r="N32" s="26">
        <f t="shared" si="3"/>
        <v>0</v>
      </c>
    </row>
    <row r="33" spans="1:14" ht="21.6" customHeight="1" x14ac:dyDescent="0.25">
      <c r="A33" s="44"/>
      <c r="B33" s="49" t="s">
        <v>108</v>
      </c>
      <c r="C33" s="63"/>
      <c r="D33" s="63"/>
      <c r="E33" s="63"/>
      <c r="F33" s="44"/>
      <c r="H33" s="25">
        <f t="shared" si="7"/>
        <v>0</v>
      </c>
      <c r="I33" s="25">
        <f t="shared" si="8"/>
        <v>0</v>
      </c>
      <c r="J33" s="25">
        <f t="shared" si="9"/>
        <v>0</v>
      </c>
      <c r="L33" s="26">
        <f t="shared" si="1"/>
        <v>0</v>
      </c>
      <c r="M33" s="26">
        <f t="shared" si="2"/>
        <v>0</v>
      </c>
      <c r="N33" s="26">
        <f t="shared" si="3"/>
        <v>0</v>
      </c>
    </row>
    <row r="34" spans="1:14" ht="21.6" customHeight="1" x14ac:dyDescent="0.25">
      <c r="A34" s="44"/>
      <c r="B34" s="49" t="s">
        <v>109</v>
      </c>
      <c r="C34" s="63"/>
      <c r="D34" s="63"/>
      <c r="E34" s="63"/>
      <c r="F34" s="44"/>
      <c r="H34" s="25">
        <f t="shared" si="7"/>
        <v>0</v>
      </c>
      <c r="I34" s="25">
        <f t="shared" si="8"/>
        <v>0</v>
      </c>
      <c r="J34" s="25">
        <f t="shared" si="9"/>
        <v>0</v>
      </c>
      <c r="L34" s="26">
        <f t="shared" si="1"/>
        <v>0</v>
      </c>
      <c r="M34" s="26">
        <f t="shared" si="2"/>
        <v>0</v>
      </c>
      <c r="N34" s="26">
        <f t="shared" si="3"/>
        <v>0</v>
      </c>
    </row>
    <row r="35" spans="1:14" ht="21.6" customHeight="1" x14ac:dyDescent="0.25">
      <c r="A35" s="44"/>
      <c r="B35" s="49" t="s">
        <v>110</v>
      </c>
      <c r="C35" s="63"/>
      <c r="D35" s="63"/>
      <c r="E35" s="63"/>
      <c r="F35" s="44"/>
      <c r="H35" s="25">
        <f t="shared" si="7"/>
        <v>0</v>
      </c>
      <c r="I35" s="25">
        <f t="shared" si="8"/>
        <v>0</v>
      </c>
      <c r="J35" s="25">
        <f t="shared" si="9"/>
        <v>0</v>
      </c>
      <c r="L35" s="26">
        <f t="shared" si="1"/>
        <v>0</v>
      </c>
      <c r="M35" s="26">
        <f t="shared" si="2"/>
        <v>0</v>
      </c>
      <c r="N35" s="26">
        <f t="shared" si="3"/>
        <v>0</v>
      </c>
    </row>
    <row r="36" spans="1:14" ht="21.6" customHeight="1" x14ac:dyDescent="0.25">
      <c r="A36" s="44"/>
      <c r="B36" s="49" t="s">
        <v>111</v>
      </c>
      <c r="C36" s="63"/>
      <c r="D36" s="63"/>
      <c r="E36" s="63"/>
      <c r="F36" s="44"/>
      <c r="H36" s="25">
        <f t="shared" si="7"/>
        <v>0</v>
      </c>
      <c r="I36" s="25">
        <f t="shared" si="8"/>
        <v>0</v>
      </c>
      <c r="J36" s="25">
        <f t="shared" si="9"/>
        <v>0</v>
      </c>
      <c r="L36" s="26">
        <f t="shared" si="1"/>
        <v>0</v>
      </c>
      <c r="M36" s="26">
        <f t="shared" si="2"/>
        <v>0</v>
      </c>
      <c r="N36" s="26">
        <f t="shared" si="3"/>
        <v>0</v>
      </c>
    </row>
    <row r="37" spans="1:14" ht="21.6" customHeight="1" x14ac:dyDescent="0.25">
      <c r="A37" s="44"/>
      <c r="B37" s="49" t="s">
        <v>112</v>
      </c>
      <c r="C37" s="63"/>
      <c r="D37" s="63"/>
      <c r="E37" s="63"/>
      <c r="F37" s="44"/>
      <c r="H37" s="25">
        <f t="shared" si="7"/>
        <v>0</v>
      </c>
      <c r="I37" s="25">
        <f t="shared" si="8"/>
        <v>0</v>
      </c>
      <c r="J37" s="25">
        <f t="shared" si="9"/>
        <v>0</v>
      </c>
      <c r="L37" s="26">
        <f t="shared" ref="L37:L68" si="10">+IF(H37:H133=1,B37:B133,0)</f>
        <v>0</v>
      </c>
      <c r="M37" s="26">
        <f t="shared" ref="M37:M68" si="11">+IF(I37:I133=1,B37:B133,0)</f>
        <v>0</v>
      </c>
      <c r="N37" s="26">
        <f t="shared" ref="N37:N68" si="12">+IF(J37:J133=1,B37:B133,0)</f>
        <v>0</v>
      </c>
    </row>
    <row r="38" spans="1:14" ht="15.75" x14ac:dyDescent="0.25">
      <c r="A38" s="44"/>
      <c r="B38" s="50"/>
      <c r="C38" s="52"/>
      <c r="D38" s="53"/>
      <c r="E38" s="53"/>
      <c r="F38" s="44"/>
      <c r="H38" s="25">
        <f t="shared" si="7"/>
        <v>0</v>
      </c>
      <c r="I38" s="25"/>
      <c r="J38" s="25"/>
      <c r="L38" s="26">
        <f t="shared" si="10"/>
        <v>0</v>
      </c>
      <c r="M38" s="26">
        <f t="shared" si="11"/>
        <v>0</v>
      </c>
      <c r="N38" s="26">
        <f t="shared" si="12"/>
        <v>0</v>
      </c>
    </row>
    <row r="39" spans="1:14" ht="27.95" customHeight="1" x14ac:dyDescent="0.25">
      <c r="A39" s="44"/>
      <c r="B39" s="51" t="s">
        <v>113</v>
      </c>
      <c r="C39" s="94" t="s">
        <v>74</v>
      </c>
      <c r="D39" s="94" t="s">
        <v>75</v>
      </c>
      <c r="E39" s="94" t="s">
        <v>101</v>
      </c>
      <c r="F39" s="44"/>
      <c r="H39" s="25"/>
      <c r="I39" s="25"/>
      <c r="J39" s="25"/>
      <c r="L39" s="26">
        <f t="shared" si="10"/>
        <v>0</v>
      </c>
      <c r="M39" s="26">
        <f t="shared" si="11"/>
        <v>0</v>
      </c>
      <c r="N39" s="26">
        <f t="shared" si="12"/>
        <v>0</v>
      </c>
    </row>
    <row r="40" spans="1:14" ht="21.6" customHeight="1" x14ac:dyDescent="0.25">
      <c r="A40" s="44"/>
      <c r="B40" s="49" t="s">
        <v>114</v>
      </c>
      <c r="C40" s="63"/>
      <c r="D40" s="63"/>
      <c r="E40" s="63"/>
      <c r="F40" s="44"/>
      <c r="H40" s="25">
        <f t="shared" si="7"/>
        <v>0</v>
      </c>
      <c r="I40" s="25">
        <f t="shared" si="8"/>
        <v>0</v>
      </c>
      <c r="J40" s="25">
        <f t="shared" si="9"/>
        <v>0</v>
      </c>
      <c r="L40" s="26">
        <f t="shared" si="10"/>
        <v>0</v>
      </c>
      <c r="M40" s="26">
        <f t="shared" si="11"/>
        <v>0</v>
      </c>
      <c r="N40" s="26">
        <f t="shared" si="12"/>
        <v>0</v>
      </c>
    </row>
    <row r="41" spans="1:14" ht="21.6" customHeight="1" x14ac:dyDescent="0.25">
      <c r="A41" s="44"/>
      <c r="B41" s="49" t="s">
        <v>115</v>
      </c>
      <c r="C41" s="63"/>
      <c r="D41" s="63"/>
      <c r="E41" s="63"/>
      <c r="F41" s="44"/>
      <c r="H41" s="25">
        <f t="shared" si="7"/>
        <v>0</v>
      </c>
      <c r="I41" s="25">
        <f t="shared" si="8"/>
        <v>0</v>
      </c>
      <c r="J41" s="25">
        <f t="shared" si="9"/>
        <v>0</v>
      </c>
      <c r="L41" s="26">
        <f t="shared" si="10"/>
        <v>0</v>
      </c>
      <c r="M41" s="26">
        <f t="shared" si="11"/>
        <v>0</v>
      </c>
      <c r="N41" s="26">
        <f t="shared" si="12"/>
        <v>0</v>
      </c>
    </row>
    <row r="42" spans="1:14" ht="21.6" customHeight="1" x14ac:dyDescent="0.25">
      <c r="A42" s="44"/>
      <c r="B42" s="49" t="s">
        <v>116</v>
      </c>
      <c r="C42" s="63"/>
      <c r="D42" s="63"/>
      <c r="E42" s="63"/>
      <c r="F42" s="44"/>
      <c r="H42" s="25">
        <f t="shared" si="7"/>
        <v>0</v>
      </c>
      <c r="I42" s="25">
        <f t="shared" si="8"/>
        <v>0</v>
      </c>
      <c r="J42" s="25">
        <f t="shared" si="9"/>
        <v>0</v>
      </c>
      <c r="L42" s="26">
        <f t="shared" si="10"/>
        <v>0</v>
      </c>
      <c r="M42" s="26">
        <f t="shared" si="11"/>
        <v>0</v>
      </c>
      <c r="N42" s="26">
        <f t="shared" si="12"/>
        <v>0</v>
      </c>
    </row>
    <row r="43" spans="1:14" ht="21.6" customHeight="1" x14ac:dyDescent="0.25">
      <c r="A43" s="44"/>
      <c r="B43" s="49" t="s">
        <v>117</v>
      </c>
      <c r="C43" s="63"/>
      <c r="D43" s="63"/>
      <c r="E43" s="63"/>
      <c r="F43" s="44"/>
      <c r="H43" s="25">
        <f t="shared" si="7"/>
        <v>0</v>
      </c>
      <c r="I43" s="25">
        <f t="shared" si="8"/>
        <v>0</v>
      </c>
      <c r="J43" s="25">
        <f t="shared" si="9"/>
        <v>0</v>
      </c>
      <c r="L43" s="26">
        <f t="shared" si="10"/>
        <v>0</v>
      </c>
      <c r="M43" s="26">
        <f t="shared" si="11"/>
        <v>0</v>
      </c>
      <c r="N43" s="26">
        <f t="shared" si="12"/>
        <v>0</v>
      </c>
    </row>
    <row r="44" spans="1:14" ht="21.6" customHeight="1" x14ac:dyDescent="0.25">
      <c r="A44" s="44"/>
      <c r="B44" s="49" t="s">
        <v>118</v>
      </c>
      <c r="C44" s="63"/>
      <c r="D44" s="63"/>
      <c r="E44" s="63"/>
      <c r="F44" s="44"/>
      <c r="H44" s="25">
        <f t="shared" si="7"/>
        <v>0</v>
      </c>
      <c r="I44" s="25">
        <f t="shared" si="8"/>
        <v>0</v>
      </c>
      <c r="J44" s="25">
        <f t="shared" si="9"/>
        <v>0</v>
      </c>
      <c r="L44" s="26">
        <f t="shared" si="10"/>
        <v>0</v>
      </c>
      <c r="M44" s="26">
        <f t="shared" si="11"/>
        <v>0</v>
      </c>
      <c r="N44" s="26">
        <f t="shared" si="12"/>
        <v>0</v>
      </c>
    </row>
    <row r="45" spans="1:14" ht="21.6" customHeight="1" x14ac:dyDescent="0.25">
      <c r="A45" s="44"/>
      <c r="B45" s="49" t="s">
        <v>119</v>
      </c>
      <c r="C45" s="63"/>
      <c r="D45" s="63"/>
      <c r="E45" s="63"/>
      <c r="F45" s="44"/>
      <c r="H45" s="25">
        <f t="shared" si="7"/>
        <v>0</v>
      </c>
      <c r="I45" s="25">
        <f t="shared" si="8"/>
        <v>0</v>
      </c>
      <c r="J45" s="25">
        <f t="shared" si="9"/>
        <v>0</v>
      </c>
      <c r="L45" s="26">
        <f t="shared" si="10"/>
        <v>0</v>
      </c>
      <c r="M45" s="26">
        <f t="shared" si="11"/>
        <v>0</v>
      </c>
      <c r="N45" s="26">
        <f t="shared" si="12"/>
        <v>0</v>
      </c>
    </row>
    <row r="46" spans="1:14" ht="15.75" x14ac:dyDescent="0.25">
      <c r="A46" s="44"/>
      <c r="B46" s="50"/>
      <c r="C46" s="50"/>
      <c r="D46" s="50"/>
      <c r="E46" s="50"/>
      <c r="F46" s="44"/>
      <c r="H46" s="25"/>
      <c r="I46" s="25"/>
      <c r="J46" s="25"/>
      <c r="L46" s="26">
        <f t="shared" si="10"/>
        <v>0</v>
      </c>
      <c r="M46" s="26">
        <f t="shared" si="11"/>
        <v>0</v>
      </c>
      <c r="N46" s="26">
        <f t="shared" si="12"/>
        <v>0</v>
      </c>
    </row>
    <row r="47" spans="1:14" ht="24.95" customHeight="1" x14ac:dyDescent="0.25">
      <c r="A47" s="44"/>
      <c r="B47" s="51" t="s">
        <v>120</v>
      </c>
      <c r="C47" s="94" t="s">
        <v>74</v>
      </c>
      <c r="D47" s="94" t="s">
        <v>75</v>
      </c>
      <c r="E47" s="94" t="s">
        <v>101</v>
      </c>
      <c r="F47" s="44"/>
      <c r="H47" s="25"/>
      <c r="I47" s="25"/>
      <c r="J47" s="25"/>
      <c r="L47" s="26">
        <f t="shared" si="10"/>
        <v>0</v>
      </c>
      <c r="M47" s="26">
        <f t="shared" si="11"/>
        <v>0</v>
      </c>
      <c r="N47" s="26">
        <f t="shared" si="12"/>
        <v>0</v>
      </c>
    </row>
    <row r="48" spans="1:14" ht="21.6" customHeight="1" x14ac:dyDescent="0.25">
      <c r="A48" s="44"/>
      <c r="B48" s="49" t="s">
        <v>121</v>
      </c>
      <c r="C48" s="63"/>
      <c r="D48" s="63"/>
      <c r="E48" s="63"/>
      <c r="F48" s="44"/>
      <c r="H48" s="25">
        <f t="shared" si="7"/>
        <v>0</v>
      </c>
      <c r="I48" s="25">
        <f t="shared" si="8"/>
        <v>0</v>
      </c>
      <c r="J48" s="25">
        <f t="shared" si="9"/>
        <v>0</v>
      </c>
      <c r="L48" s="26">
        <f t="shared" si="10"/>
        <v>0</v>
      </c>
      <c r="M48" s="26">
        <f t="shared" si="11"/>
        <v>0</v>
      </c>
      <c r="N48" s="26">
        <f t="shared" si="12"/>
        <v>0</v>
      </c>
    </row>
    <row r="49" spans="1:14" ht="21.6" customHeight="1" x14ac:dyDescent="0.25">
      <c r="A49" s="44"/>
      <c r="B49" s="49" t="s">
        <v>122</v>
      </c>
      <c r="C49" s="63"/>
      <c r="D49" s="63"/>
      <c r="E49" s="63"/>
      <c r="F49" s="44"/>
      <c r="H49" s="25">
        <f t="shared" si="7"/>
        <v>0</v>
      </c>
      <c r="I49" s="25">
        <f t="shared" si="8"/>
        <v>0</v>
      </c>
      <c r="J49" s="25">
        <f t="shared" si="9"/>
        <v>0</v>
      </c>
      <c r="L49" s="26">
        <f t="shared" si="10"/>
        <v>0</v>
      </c>
      <c r="M49" s="26">
        <f t="shared" si="11"/>
        <v>0</v>
      </c>
      <c r="N49" s="26">
        <f t="shared" si="12"/>
        <v>0</v>
      </c>
    </row>
    <row r="50" spans="1:14" ht="21.6" customHeight="1" x14ac:dyDescent="0.25">
      <c r="A50" s="44"/>
      <c r="B50" s="49" t="s">
        <v>123</v>
      </c>
      <c r="C50" s="63"/>
      <c r="D50" s="63"/>
      <c r="E50" s="63"/>
      <c r="F50" s="44"/>
      <c r="H50" s="25">
        <f t="shared" si="7"/>
        <v>0</v>
      </c>
      <c r="I50" s="25">
        <f t="shared" si="8"/>
        <v>0</v>
      </c>
      <c r="J50" s="25">
        <f t="shared" si="9"/>
        <v>0</v>
      </c>
      <c r="L50" s="26">
        <f t="shared" si="10"/>
        <v>0</v>
      </c>
      <c r="M50" s="26">
        <f t="shared" si="11"/>
        <v>0</v>
      </c>
      <c r="N50" s="26">
        <f t="shared" si="12"/>
        <v>0</v>
      </c>
    </row>
    <row r="51" spans="1:14" ht="21.6" customHeight="1" x14ac:dyDescent="0.25">
      <c r="A51" s="44"/>
      <c r="B51" s="49" t="s">
        <v>124</v>
      </c>
      <c r="C51" s="63"/>
      <c r="D51" s="63"/>
      <c r="E51" s="63"/>
      <c r="F51" s="44"/>
      <c r="H51" s="25">
        <f t="shared" si="7"/>
        <v>0</v>
      </c>
      <c r="I51" s="25">
        <f t="shared" si="8"/>
        <v>0</v>
      </c>
      <c r="J51" s="25">
        <f t="shared" si="9"/>
        <v>0</v>
      </c>
      <c r="L51" s="26">
        <f t="shared" si="10"/>
        <v>0</v>
      </c>
      <c r="M51" s="26">
        <f t="shared" si="11"/>
        <v>0</v>
      </c>
      <c r="N51" s="26">
        <f t="shared" si="12"/>
        <v>0</v>
      </c>
    </row>
    <row r="52" spans="1:14" ht="21.6" customHeight="1" x14ac:dyDescent="0.25">
      <c r="A52" s="44"/>
      <c r="B52" s="49" t="s">
        <v>125</v>
      </c>
      <c r="C52" s="63"/>
      <c r="D52" s="63"/>
      <c r="E52" s="63"/>
      <c r="F52" s="44"/>
      <c r="H52" s="25">
        <f t="shared" si="7"/>
        <v>0</v>
      </c>
      <c r="I52" s="25">
        <f t="shared" si="8"/>
        <v>0</v>
      </c>
      <c r="J52" s="25">
        <f t="shared" si="9"/>
        <v>0</v>
      </c>
      <c r="L52" s="26">
        <f t="shared" si="10"/>
        <v>0</v>
      </c>
      <c r="M52" s="26">
        <f t="shared" si="11"/>
        <v>0</v>
      </c>
      <c r="N52" s="26">
        <f t="shared" si="12"/>
        <v>0</v>
      </c>
    </row>
    <row r="53" spans="1:14" ht="21.6" customHeight="1" x14ac:dyDescent="0.25">
      <c r="A53" s="44"/>
      <c r="B53" s="49" t="s">
        <v>126</v>
      </c>
      <c r="C53" s="63"/>
      <c r="D53" s="63"/>
      <c r="E53" s="63"/>
      <c r="F53" s="44"/>
      <c r="H53" s="25">
        <f t="shared" si="7"/>
        <v>0</v>
      </c>
      <c r="I53" s="25">
        <f t="shared" si="8"/>
        <v>0</v>
      </c>
      <c r="J53" s="25">
        <f t="shared" si="9"/>
        <v>0</v>
      </c>
      <c r="L53" s="26">
        <f t="shared" si="10"/>
        <v>0</v>
      </c>
      <c r="M53" s="26">
        <f t="shared" si="11"/>
        <v>0</v>
      </c>
      <c r="N53" s="26">
        <f t="shared" si="12"/>
        <v>0</v>
      </c>
    </row>
    <row r="54" spans="1:14" ht="20.100000000000001" customHeight="1" x14ac:dyDescent="0.25">
      <c r="A54" s="44"/>
      <c r="B54" s="54"/>
      <c r="C54" s="44"/>
      <c r="D54" s="44"/>
      <c r="E54" s="44"/>
      <c r="F54" s="44"/>
      <c r="H54" s="25">
        <f t="shared" si="7"/>
        <v>0</v>
      </c>
      <c r="I54" s="25"/>
      <c r="J54" s="25"/>
      <c r="L54" s="26">
        <f t="shared" si="10"/>
        <v>0</v>
      </c>
      <c r="M54" s="26">
        <f t="shared" si="11"/>
        <v>0</v>
      </c>
      <c r="N54" s="26">
        <f t="shared" si="12"/>
        <v>0</v>
      </c>
    </row>
    <row r="55" spans="1:14" ht="15.75" x14ac:dyDescent="0.25">
      <c r="A55" s="44"/>
      <c r="B55" s="95" t="s">
        <v>127</v>
      </c>
      <c r="C55" s="50"/>
      <c r="D55" s="55"/>
      <c r="E55" s="55"/>
      <c r="F55" s="44"/>
      <c r="H55" s="25"/>
      <c r="I55" s="25"/>
      <c r="J55" s="25"/>
      <c r="L55" s="26">
        <f t="shared" si="10"/>
        <v>0</v>
      </c>
      <c r="M55" s="26">
        <f t="shared" si="11"/>
        <v>0</v>
      </c>
      <c r="N55" s="26">
        <f t="shared" si="12"/>
        <v>0</v>
      </c>
    </row>
    <row r="56" spans="1:14" ht="21.6" customHeight="1" x14ac:dyDescent="0.25">
      <c r="A56" s="44"/>
      <c r="B56" s="56"/>
      <c r="C56" s="94" t="s">
        <v>74</v>
      </c>
      <c r="D56" s="94" t="s">
        <v>75</v>
      </c>
      <c r="E56" s="94" t="s">
        <v>101</v>
      </c>
      <c r="F56" s="44"/>
      <c r="H56" s="25"/>
      <c r="I56" s="25"/>
      <c r="J56" s="25"/>
      <c r="L56" s="26">
        <f t="shared" si="10"/>
        <v>0</v>
      </c>
      <c r="M56" s="26">
        <f t="shared" si="11"/>
        <v>0</v>
      </c>
      <c r="N56" s="26">
        <f t="shared" si="12"/>
        <v>0</v>
      </c>
    </row>
    <row r="57" spans="1:14" ht="21.6" customHeight="1" x14ac:dyDescent="0.25">
      <c r="A57" s="44"/>
      <c r="B57" s="57" t="s">
        <v>128</v>
      </c>
      <c r="C57" s="63"/>
      <c r="D57" s="63"/>
      <c r="E57" s="63"/>
      <c r="F57" s="44"/>
      <c r="H57" s="25">
        <f t="shared" si="7"/>
        <v>0</v>
      </c>
      <c r="I57" s="25">
        <f t="shared" si="8"/>
        <v>0</v>
      </c>
      <c r="J57" s="25">
        <f t="shared" si="9"/>
        <v>0</v>
      </c>
      <c r="L57" s="26">
        <f t="shared" si="10"/>
        <v>0</v>
      </c>
      <c r="M57" s="26">
        <f t="shared" si="11"/>
        <v>0</v>
      </c>
      <c r="N57" s="26">
        <f t="shared" si="12"/>
        <v>0</v>
      </c>
    </row>
    <row r="58" spans="1:14" ht="21.6" customHeight="1" x14ac:dyDescent="0.25">
      <c r="A58" s="44"/>
      <c r="B58" s="57" t="s">
        <v>129</v>
      </c>
      <c r="C58" s="63"/>
      <c r="D58" s="63"/>
      <c r="E58" s="63"/>
      <c r="F58" s="44"/>
      <c r="H58" s="25">
        <f t="shared" si="7"/>
        <v>0</v>
      </c>
      <c r="I58" s="25">
        <f t="shared" si="8"/>
        <v>0</v>
      </c>
      <c r="J58" s="25">
        <f t="shared" si="9"/>
        <v>0</v>
      </c>
      <c r="L58" s="26">
        <f t="shared" si="10"/>
        <v>0</v>
      </c>
      <c r="M58" s="26">
        <f t="shared" si="11"/>
        <v>0</v>
      </c>
      <c r="N58" s="26">
        <f t="shared" si="12"/>
        <v>0</v>
      </c>
    </row>
    <row r="59" spans="1:14" ht="21.6" customHeight="1" x14ac:dyDescent="0.25">
      <c r="A59" s="44"/>
      <c r="B59" s="57" t="s">
        <v>130</v>
      </c>
      <c r="C59" s="63"/>
      <c r="D59" s="63"/>
      <c r="E59" s="63"/>
      <c r="F59" s="44"/>
      <c r="H59" s="25">
        <f t="shared" si="7"/>
        <v>0</v>
      </c>
      <c r="I59" s="25">
        <f t="shared" si="8"/>
        <v>0</v>
      </c>
      <c r="J59" s="25">
        <f t="shared" si="9"/>
        <v>0</v>
      </c>
      <c r="L59" s="26">
        <f t="shared" si="10"/>
        <v>0</v>
      </c>
      <c r="M59" s="26">
        <f t="shared" si="11"/>
        <v>0</v>
      </c>
      <c r="N59" s="26">
        <f t="shared" si="12"/>
        <v>0</v>
      </c>
    </row>
    <row r="60" spans="1:14" ht="21" customHeight="1" x14ac:dyDescent="0.25">
      <c r="A60" s="44"/>
      <c r="B60" s="50"/>
      <c r="C60" s="50"/>
      <c r="D60" s="58"/>
      <c r="E60" s="58"/>
      <c r="F60" s="44"/>
      <c r="H60" s="25"/>
      <c r="I60" s="25"/>
      <c r="J60" s="25"/>
      <c r="L60" s="26">
        <f t="shared" si="10"/>
        <v>0</v>
      </c>
      <c r="M60" s="26">
        <f t="shared" si="11"/>
        <v>0</v>
      </c>
      <c r="N60" s="26">
        <f t="shared" si="12"/>
        <v>0</v>
      </c>
    </row>
    <row r="61" spans="1:14" ht="18.600000000000001" customHeight="1" x14ac:dyDescent="0.25">
      <c r="A61" s="44"/>
      <c r="B61" s="59" t="s">
        <v>131</v>
      </c>
      <c r="C61" s="50"/>
      <c r="D61" s="60"/>
      <c r="E61" s="60"/>
      <c r="F61" s="44"/>
      <c r="H61" s="25"/>
      <c r="I61" s="25"/>
      <c r="J61" s="25"/>
      <c r="L61" s="26">
        <f t="shared" si="10"/>
        <v>0</v>
      </c>
      <c r="M61" s="26">
        <f t="shared" si="11"/>
        <v>0</v>
      </c>
      <c r="N61" s="26">
        <f t="shared" si="12"/>
        <v>0</v>
      </c>
    </row>
    <row r="62" spans="1:14" ht="20.45" customHeight="1" x14ac:dyDescent="0.25">
      <c r="A62" s="44"/>
      <c r="B62" s="56"/>
      <c r="C62" s="94" t="s">
        <v>74</v>
      </c>
      <c r="D62" s="94" t="s">
        <v>75</v>
      </c>
      <c r="E62" s="94" t="s">
        <v>101</v>
      </c>
      <c r="F62" s="44"/>
      <c r="H62" s="25"/>
      <c r="I62" s="25"/>
      <c r="J62" s="25"/>
      <c r="L62" s="26">
        <f t="shared" si="10"/>
        <v>0</v>
      </c>
      <c r="M62" s="26">
        <f t="shared" si="11"/>
        <v>0</v>
      </c>
      <c r="N62" s="26">
        <f t="shared" si="12"/>
        <v>0</v>
      </c>
    </row>
    <row r="63" spans="1:14" ht="30" customHeight="1" x14ac:dyDescent="0.25">
      <c r="A63" s="44"/>
      <c r="B63" s="57" t="s">
        <v>132</v>
      </c>
      <c r="C63" s="63"/>
      <c r="D63" s="63"/>
      <c r="E63" s="63"/>
      <c r="F63" s="44"/>
      <c r="H63" s="25">
        <f t="shared" si="7"/>
        <v>0</v>
      </c>
      <c r="I63" s="25">
        <f t="shared" si="8"/>
        <v>0</v>
      </c>
      <c r="J63" s="25">
        <f t="shared" si="9"/>
        <v>0</v>
      </c>
      <c r="L63" s="26">
        <f t="shared" si="10"/>
        <v>0</v>
      </c>
      <c r="M63" s="26">
        <f t="shared" si="11"/>
        <v>0</v>
      </c>
      <c r="N63" s="26">
        <f t="shared" si="12"/>
        <v>0</v>
      </c>
    </row>
    <row r="64" spans="1:14" ht="21.6" customHeight="1" x14ac:dyDescent="0.25">
      <c r="A64" s="44"/>
      <c r="B64" s="57" t="s">
        <v>133</v>
      </c>
      <c r="C64" s="63"/>
      <c r="D64" s="63"/>
      <c r="E64" s="63"/>
      <c r="F64" s="44"/>
      <c r="H64" s="25">
        <f t="shared" si="7"/>
        <v>0</v>
      </c>
      <c r="I64" s="25">
        <f t="shared" si="8"/>
        <v>0</v>
      </c>
      <c r="J64" s="25">
        <f t="shared" si="9"/>
        <v>0</v>
      </c>
      <c r="L64" s="26">
        <f t="shared" si="10"/>
        <v>0</v>
      </c>
      <c r="M64" s="26">
        <f t="shared" si="11"/>
        <v>0</v>
      </c>
      <c r="N64" s="26">
        <f t="shared" si="12"/>
        <v>0</v>
      </c>
    </row>
    <row r="65" spans="1:14" ht="33.6" customHeight="1" x14ac:dyDescent="0.25">
      <c r="A65" s="44"/>
      <c r="B65" s="57" t="s">
        <v>134</v>
      </c>
      <c r="C65" s="63"/>
      <c r="D65" s="63"/>
      <c r="E65" s="63"/>
      <c r="F65" s="44"/>
      <c r="H65" s="25">
        <f t="shared" si="7"/>
        <v>0</v>
      </c>
      <c r="I65" s="25">
        <f t="shared" si="8"/>
        <v>0</v>
      </c>
      <c r="J65" s="25">
        <f t="shared" si="9"/>
        <v>0</v>
      </c>
      <c r="L65" s="26">
        <f t="shared" si="10"/>
        <v>0</v>
      </c>
      <c r="M65" s="26">
        <f t="shared" si="11"/>
        <v>0</v>
      </c>
      <c r="N65" s="26">
        <f t="shared" si="12"/>
        <v>0</v>
      </c>
    </row>
    <row r="66" spans="1:14" ht="30" customHeight="1" x14ac:dyDescent="0.25">
      <c r="A66" s="44"/>
      <c r="B66" s="57" t="s">
        <v>135</v>
      </c>
      <c r="C66" s="63"/>
      <c r="D66" s="63"/>
      <c r="E66" s="63"/>
      <c r="F66" s="44"/>
      <c r="H66" s="25">
        <f t="shared" si="7"/>
        <v>0</v>
      </c>
      <c r="I66" s="25">
        <f t="shared" si="8"/>
        <v>0</v>
      </c>
      <c r="J66" s="25">
        <f t="shared" si="9"/>
        <v>0</v>
      </c>
      <c r="L66" s="26">
        <f t="shared" si="10"/>
        <v>0</v>
      </c>
      <c r="M66" s="26">
        <f t="shared" si="11"/>
        <v>0</v>
      </c>
      <c r="N66" s="26">
        <f t="shared" si="12"/>
        <v>0</v>
      </c>
    </row>
    <row r="67" spans="1:14" ht="21.6" customHeight="1" x14ac:dyDescent="0.25">
      <c r="A67" s="44"/>
      <c r="B67" s="57" t="s">
        <v>136</v>
      </c>
      <c r="C67" s="63"/>
      <c r="D67" s="63"/>
      <c r="E67" s="63"/>
      <c r="F67" s="44"/>
      <c r="H67" s="25">
        <f t="shared" si="7"/>
        <v>0</v>
      </c>
      <c r="I67" s="25">
        <f t="shared" si="8"/>
        <v>0</v>
      </c>
      <c r="J67" s="25">
        <f t="shared" si="9"/>
        <v>0</v>
      </c>
      <c r="L67" s="26">
        <f t="shared" si="10"/>
        <v>0</v>
      </c>
      <c r="M67" s="26">
        <f t="shared" si="11"/>
        <v>0</v>
      </c>
      <c r="N67" s="26">
        <f t="shared" si="12"/>
        <v>0</v>
      </c>
    </row>
    <row r="68" spans="1:14" ht="21.6" customHeight="1" x14ac:dyDescent="0.25">
      <c r="A68" s="44"/>
      <c r="B68" s="57" t="s">
        <v>137</v>
      </c>
      <c r="C68" s="63"/>
      <c r="D68" s="63"/>
      <c r="E68" s="63"/>
      <c r="F68" s="44"/>
      <c r="H68" s="25">
        <f t="shared" si="7"/>
        <v>0</v>
      </c>
      <c r="I68" s="25">
        <f t="shared" si="8"/>
        <v>0</v>
      </c>
      <c r="J68" s="25">
        <f t="shared" si="9"/>
        <v>0</v>
      </c>
      <c r="L68" s="26">
        <f t="shared" si="10"/>
        <v>0</v>
      </c>
      <c r="M68" s="26">
        <f t="shared" si="11"/>
        <v>0</v>
      </c>
      <c r="N68" s="26">
        <f t="shared" si="12"/>
        <v>0</v>
      </c>
    </row>
    <row r="69" spans="1:14" ht="21.6" customHeight="1" x14ac:dyDescent="0.25">
      <c r="A69" s="44"/>
      <c r="B69" s="57" t="s">
        <v>138</v>
      </c>
      <c r="C69" s="63"/>
      <c r="D69" s="63"/>
      <c r="E69" s="63"/>
      <c r="F69" s="44"/>
      <c r="H69" s="25">
        <f t="shared" si="7"/>
        <v>0</v>
      </c>
      <c r="I69" s="25">
        <f t="shared" si="8"/>
        <v>0</v>
      </c>
      <c r="J69" s="25">
        <f t="shared" si="9"/>
        <v>0</v>
      </c>
      <c r="L69" s="26">
        <f t="shared" ref="L69:L82" si="13">+IF(H69:H165=1,B69:B165,0)</f>
        <v>0</v>
      </c>
      <c r="M69" s="26">
        <f t="shared" ref="M69:M82" si="14">+IF(I69:I165=1,B69:B165,0)</f>
        <v>0</v>
      </c>
      <c r="N69" s="26">
        <f t="shared" ref="N69:N82" si="15">+IF(J69:J165=1,B69:B165,0)</f>
        <v>0</v>
      </c>
    </row>
    <row r="70" spans="1:14" ht="30.6" customHeight="1" x14ac:dyDescent="0.25">
      <c r="A70" s="44"/>
      <c r="B70" s="57" t="s">
        <v>139</v>
      </c>
      <c r="C70" s="63"/>
      <c r="D70" s="63"/>
      <c r="E70" s="63"/>
      <c r="F70" s="44"/>
      <c r="H70" s="25">
        <f t="shared" ref="H70:H101" si="16">IF(COUNTA(C70)=1,1,0)</f>
        <v>0</v>
      </c>
      <c r="I70" s="25">
        <f t="shared" si="8"/>
        <v>0</v>
      </c>
      <c r="J70" s="25">
        <f t="shared" si="9"/>
        <v>0</v>
      </c>
      <c r="L70" s="26">
        <f t="shared" si="13"/>
        <v>0</v>
      </c>
      <c r="M70" s="26">
        <f t="shared" si="14"/>
        <v>0</v>
      </c>
      <c r="N70" s="26">
        <f t="shared" si="15"/>
        <v>0</v>
      </c>
    </row>
    <row r="71" spans="1:14" ht="21.6" customHeight="1" x14ac:dyDescent="0.25">
      <c r="A71" s="44"/>
      <c r="B71" s="57" t="s">
        <v>140</v>
      </c>
      <c r="C71" s="63"/>
      <c r="D71" s="63"/>
      <c r="E71" s="63"/>
      <c r="F71" s="44"/>
      <c r="H71" s="25">
        <f t="shared" si="16"/>
        <v>0</v>
      </c>
      <c r="I71" s="25">
        <f t="shared" si="8"/>
        <v>0</v>
      </c>
      <c r="J71" s="25">
        <f t="shared" si="9"/>
        <v>0</v>
      </c>
      <c r="L71" s="26">
        <f t="shared" si="13"/>
        <v>0</v>
      </c>
      <c r="M71" s="26">
        <f t="shared" si="14"/>
        <v>0</v>
      </c>
      <c r="N71" s="26">
        <f t="shared" si="15"/>
        <v>0</v>
      </c>
    </row>
    <row r="72" spans="1:14" ht="21.6" customHeight="1" x14ac:dyDescent="0.25">
      <c r="A72" s="44"/>
      <c r="B72" s="57" t="s">
        <v>141</v>
      </c>
      <c r="C72" s="63"/>
      <c r="D72" s="63"/>
      <c r="E72" s="63"/>
      <c r="F72" s="44"/>
      <c r="H72" s="25">
        <f t="shared" si="16"/>
        <v>0</v>
      </c>
      <c r="I72" s="25">
        <f t="shared" si="8"/>
        <v>0</v>
      </c>
      <c r="J72" s="25">
        <f t="shared" si="9"/>
        <v>0</v>
      </c>
      <c r="L72" s="26">
        <f t="shared" si="13"/>
        <v>0</v>
      </c>
      <c r="M72" s="26">
        <f t="shared" si="14"/>
        <v>0</v>
      </c>
      <c r="N72" s="26">
        <f t="shared" si="15"/>
        <v>0</v>
      </c>
    </row>
    <row r="73" spans="1:14" ht="15.75" x14ac:dyDescent="0.25">
      <c r="A73" s="44"/>
      <c r="B73" s="61"/>
      <c r="C73" s="44"/>
      <c r="D73" s="44"/>
      <c r="E73" s="44"/>
      <c r="F73" s="44"/>
      <c r="H73" s="25"/>
      <c r="I73" s="25"/>
      <c r="J73" s="25"/>
      <c r="L73" s="26">
        <f t="shared" si="13"/>
        <v>0</v>
      </c>
      <c r="M73" s="26">
        <f t="shared" si="14"/>
        <v>0</v>
      </c>
      <c r="N73" s="26">
        <f t="shared" si="15"/>
        <v>0</v>
      </c>
    </row>
    <row r="74" spans="1:14" ht="15.75" x14ac:dyDescent="0.25">
      <c r="A74" s="44"/>
      <c r="B74" s="61"/>
      <c r="C74" s="44"/>
      <c r="D74" s="44"/>
      <c r="E74" s="44"/>
      <c r="F74" s="44"/>
      <c r="H74" s="25"/>
      <c r="I74" s="25"/>
      <c r="J74" s="25"/>
      <c r="L74" s="26">
        <f t="shared" si="13"/>
        <v>0</v>
      </c>
      <c r="M74" s="26">
        <f t="shared" si="14"/>
        <v>0</v>
      </c>
      <c r="N74" s="26">
        <f t="shared" si="15"/>
        <v>0</v>
      </c>
    </row>
    <row r="75" spans="1:14" ht="42" customHeight="1" x14ac:dyDescent="0.25">
      <c r="A75" s="44"/>
      <c r="B75" s="120" t="s">
        <v>142</v>
      </c>
      <c r="C75" s="120"/>
      <c r="D75" s="120"/>
      <c r="E75" s="120"/>
      <c r="F75" s="44"/>
      <c r="H75" s="25"/>
      <c r="I75" s="25"/>
      <c r="J75" s="25"/>
      <c r="L75" s="26">
        <f t="shared" si="13"/>
        <v>0</v>
      </c>
      <c r="M75" s="26">
        <f t="shared" si="14"/>
        <v>0</v>
      </c>
      <c r="N75" s="26">
        <f t="shared" si="15"/>
        <v>0</v>
      </c>
    </row>
    <row r="76" spans="1:14" ht="15.75" x14ac:dyDescent="0.25">
      <c r="A76" s="44"/>
      <c r="B76" s="54"/>
      <c r="C76" s="44"/>
      <c r="D76" s="44"/>
      <c r="E76" s="44"/>
      <c r="F76" s="44"/>
      <c r="H76" s="25"/>
      <c r="I76" s="25"/>
      <c r="J76" s="25"/>
      <c r="L76" s="26">
        <f t="shared" si="13"/>
        <v>0</v>
      </c>
      <c r="M76" s="26">
        <f t="shared" si="14"/>
        <v>0</v>
      </c>
      <c r="N76" s="26">
        <f t="shared" si="15"/>
        <v>0</v>
      </c>
    </row>
    <row r="77" spans="1:14" ht="23.1" customHeight="1" x14ac:dyDescent="0.25">
      <c r="A77" s="44"/>
      <c r="B77" s="62" t="s">
        <v>143</v>
      </c>
      <c r="C77" s="94" t="s">
        <v>74</v>
      </c>
      <c r="D77" s="94" t="s">
        <v>75</v>
      </c>
      <c r="E77" s="94" t="s">
        <v>101</v>
      </c>
      <c r="F77" s="44"/>
      <c r="H77" s="25"/>
      <c r="I77" s="25"/>
      <c r="J77" s="25"/>
      <c r="L77" s="26">
        <f t="shared" si="13"/>
        <v>0</v>
      </c>
      <c r="M77" s="26">
        <f t="shared" si="14"/>
        <v>0</v>
      </c>
      <c r="N77" s="26">
        <f t="shared" si="15"/>
        <v>0</v>
      </c>
    </row>
    <row r="78" spans="1:14" ht="21.6" customHeight="1" x14ac:dyDescent="0.25">
      <c r="A78" s="44"/>
      <c r="B78" s="49" t="s">
        <v>144</v>
      </c>
      <c r="C78" s="63"/>
      <c r="D78" s="63"/>
      <c r="E78" s="63"/>
      <c r="F78" s="44"/>
      <c r="H78" s="25">
        <f t="shared" si="16"/>
        <v>0</v>
      </c>
      <c r="I78" s="25">
        <f t="shared" ref="I78:I101" si="17">IF(COUNTA(D78)=1,1,0)</f>
        <v>0</v>
      </c>
      <c r="J78" s="25">
        <f t="shared" ref="J78:J101" si="18">IF(COUNTA(E78)=1,1,0)</f>
        <v>0</v>
      </c>
      <c r="L78" s="26">
        <f t="shared" si="13"/>
        <v>0</v>
      </c>
      <c r="M78" s="26">
        <f t="shared" si="14"/>
        <v>0</v>
      </c>
      <c r="N78" s="26">
        <f t="shared" si="15"/>
        <v>0</v>
      </c>
    </row>
    <row r="79" spans="1:14" ht="21.6" customHeight="1" x14ac:dyDescent="0.25">
      <c r="A79" s="44"/>
      <c r="B79" s="49" t="s">
        <v>145</v>
      </c>
      <c r="C79" s="63"/>
      <c r="D79" s="63"/>
      <c r="E79" s="63"/>
      <c r="F79" s="44"/>
      <c r="H79" s="25">
        <f t="shared" si="16"/>
        <v>0</v>
      </c>
      <c r="I79" s="25">
        <f t="shared" si="17"/>
        <v>0</v>
      </c>
      <c r="J79" s="25">
        <f t="shared" si="18"/>
        <v>0</v>
      </c>
      <c r="L79" s="26">
        <f t="shared" si="13"/>
        <v>0</v>
      </c>
      <c r="M79" s="26">
        <f t="shared" si="14"/>
        <v>0</v>
      </c>
      <c r="N79" s="26">
        <f t="shared" si="15"/>
        <v>0</v>
      </c>
    </row>
    <row r="80" spans="1:14" ht="21.6" customHeight="1" x14ac:dyDescent="0.25">
      <c r="A80" s="44"/>
      <c r="B80" s="49" t="s">
        <v>146</v>
      </c>
      <c r="C80" s="63"/>
      <c r="D80" s="63"/>
      <c r="E80" s="63"/>
      <c r="F80" s="44"/>
      <c r="H80" s="25">
        <f t="shared" si="16"/>
        <v>0</v>
      </c>
      <c r="I80" s="25">
        <f t="shared" si="17"/>
        <v>0</v>
      </c>
      <c r="J80" s="25">
        <f t="shared" si="18"/>
        <v>0</v>
      </c>
      <c r="L80" s="26">
        <f t="shared" si="13"/>
        <v>0</v>
      </c>
      <c r="M80" s="26">
        <f t="shared" si="14"/>
        <v>0</v>
      </c>
      <c r="N80" s="26">
        <f t="shared" si="15"/>
        <v>0</v>
      </c>
    </row>
    <row r="81" spans="1:14" ht="21.6" customHeight="1" x14ac:dyDescent="0.25">
      <c r="A81" s="44"/>
      <c r="B81" s="57" t="s">
        <v>147</v>
      </c>
      <c r="C81" s="63"/>
      <c r="D81" s="63"/>
      <c r="E81" s="63"/>
      <c r="F81" s="44"/>
      <c r="H81" s="25">
        <f t="shared" si="16"/>
        <v>0</v>
      </c>
      <c r="I81" s="25">
        <f t="shared" si="17"/>
        <v>0</v>
      </c>
      <c r="J81" s="25">
        <f t="shared" si="18"/>
        <v>0</v>
      </c>
      <c r="L81" s="26">
        <f t="shared" si="13"/>
        <v>0</v>
      </c>
      <c r="M81" s="26">
        <f t="shared" si="14"/>
        <v>0</v>
      </c>
      <c r="N81" s="26">
        <f t="shared" si="15"/>
        <v>0</v>
      </c>
    </row>
    <row r="82" spans="1:14" ht="21.6" customHeight="1" x14ac:dyDescent="0.25">
      <c r="A82" s="44"/>
      <c r="B82" s="49" t="s">
        <v>148</v>
      </c>
      <c r="C82" s="63"/>
      <c r="D82" s="63"/>
      <c r="E82" s="63"/>
      <c r="F82" s="44"/>
      <c r="H82" s="25">
        <f t="shared" si="16"/>
        <v>0</v>
      </c>
      <c r="I82" s="25">
        <f t="shared" si="17"/>
        <v>0</v>
      </c>
      <c r="J82" s="25">
        <f t="shared" si="18"/>
        <v>0</v>
      </c>
      <c r="L82" s="26">
        <f t="shared" si="13"/>
        <v>0</v>
      </c>
      <c r="M82" s="26">
        <f t="shared" si="14"/>
        <v>0</v>
      </c>
      <c r="N82" s="26">
        <f t="shared" si="15"/>
        <v>0</v>
      </c>
    </row>
    <row r="83" spans="1:14" ht="15.75" x14ac:dyDescent="0.25">
      <c r="A83" s="44"/>
      <c r="B83" s="54"/>
      <c r="C83" s="44"/>
      <c r="D83" s="44"/>
      <c r="E83" s="44"/>
      <c r="F83" s="44"/>
      <c r="H83" s="25">
        <f t="shared" si="16"/>
        <v>0</v>
      </c>
      <c r="I83" s="25"/>
      <c r="J83" s="25"/>
      <c r="L83" s="26">
        <f>+IF(H83:H180=1,B83:B180,0)</f>
        <v>0</v>
      </c>
      <c r="M83" s="26">
        <f>+IF(I83:I180=1,B83:B180,0)</f>
        <v>0</v>
      </c>
      <c r="N83" s="26">
        <f>+IF(J83:J180=1,B83:B180,0)</f>
        <v>0</v>
      </c>
    </row>
    <row r="84" spans="1:14" ht="15.75" x14ac:dyDescent="0.25">
      <c r="A84" s="44"/>
      <c r="B84" s="54"/>
      <c r="C84" s="44"/>
      <c r="D84" s="44"/>
      <c r="E84" s="44"/>
      <c r="F84" s="44"/>
      <c r="H84" s="25"/>
      <c r="I84" s="25"/>
      <c r="J84" s="25"/>
      <c r="L84" s="26">
        <f>+IF(H84:H181=1,B84:B181,0)</f>
        <v>0</v>
      </c>
      <c r="M84" s="26">
        <f>+IF(I84:I181=1,B84:B181,0)</f>
        <v>0</v>
      </c>
      <c r="N84" s="26">
        <f>+IF(J84:J181=1,B84:B181,0)</f>
        <v>0</v>
      </c>
    </row>
    <row r="85" spans="1:14" ht="25.5" customHeight="1" x14ac:dyDescent="0.25">
      <c r="A85" s="44"/>
      <c r="B85" s="62" t="s">
        <v>149</v>
      </c>
      <c r="C85" s="94" t="s">
        <v>74</v>
      </c>
      <c r="D85" s="94" t="s">
        <v>75</v>
      </c>
      <c r="E85" s="94" t="s">
        <v>101</v>
      </c>
      <c r="F85" s="44"/>
      <c r="H85" s="25"/>
      <c r="I85" s="25"/>
      <c r="J85" s="25"/>
      <c r="L85" s="26">
        <f>+IF(H85:H182=1,B85:B182,0)</f>
        <v>0</v>
      </c>
      <c r="M85" s="26">
        <f>+IF(I85:I182=1,B85:B182,0)</f>
        <v>0</v>
      </c>
      <c r="N85" s="26">
        <f>+IF(J85:J182=1,B85:B182,0)</f>
        <v>0</v>
      </c>
    </row>
    <row r="86" spans="1:14" ht="21.6" customHeight="1" x14ac:dyDescent="0.25">
      <c r="A86" s="44"/>
      <c r="B86" s="49" t="s">
        <v>150</v>
      </c>
      <c r="C86" s="63"/>
      <c r="D86" s="63"/>
      <c r="E86" s="63"/>
      <c r="F86" s="44"/>
      <c r="H86" s="25">
        <f t="shared" si="16"/>
        <v>0</v>
      </c>
      <c r="I86" s="25">
        <f t="shared" si="17"/>
        <v>0</v>
      </c>
      <c r="J86" s="25">
        <f t="shared" si="18"/>
        <v>0</v>
      </c>
      <c r="L86" s="26">
        <f>+IF(H86:H184=1,B86:B184,0)</f>
        <v>0</v>
      </c>
      <c r="M86" s="26">
        <f>+IF(I86:I184=1,B86:B184,0)</f>
        <v>0</v>
      </c>
      <c r="N86" s="26">
        <f>+IF(J86:J184=1,B86:B184,0)</f>
        <v>0</v>
      </c>
    </row>
    <row r="87" spans="1:14" ht="21.6" customHeight="1" x14ac:dyDescent="0.25">
      <c r="A87" s="44"/>
      <c r="B87" s="49" t="s">
        <v>151</v>
      </c>
      <c r="C87" s="63"/>
      <c r="D87" s="63"/>
      <c r="E87" s="63"/>
      <c r="F87" s="44"/>
      <c r="H87" s="25">
        <f t="shared" si="16"/>
        <v>0</v>
      </c>
      <c r="I87" s="25">
        <f t="shared" si="17"/>
        <v>0</v>
      </c>
      <c r="J87" s="25">
        <f t="shared" si="18"/>
        <v>0</v>
      </c>
      <c r="L87" s="26">
        <f t="shared" ref="L87:L93" si="19">+IF(H87:H187=1,B87:B187,0)</f>
        <v>0</v>
      </c>
      <c r="M87" s="26">
        <f t="shared" ref="M87:M93" si="20">+IF(I87:I187=1,B87:B187,0)</f>
        <v>0</v>
      </c>
      <c r="N87" s="26">
        <f t="shared" ref="N87:N93" si="21">+IF(J87:J187=1,B87:B187,0)</f>
        <v>0</v>
      </c>
    </row>
    <row r="88" spans="1:14" ht="21.6" customHeight="1" x14ac:dyDescent="0.25">
      <c r="A88" s="44"/>
      <c r="B88" s="49" t="s">
        <v>152</v>
      </c>
      <c r="C88" s="63"/>
      <c r="D88" s="63"/>
      <c r="E88" s="63"/>
      <c r="F88" s="44"/>
      <c r="H88" s="25">
        <f t="shared" si="16"/>
        <v>0</v>
      </c>
      <c r="I88" s="25">
        <f t="shared" si="17"/>
        <v>0</v>
      </c>
      <c r="J88" s="25">
        <f t="shared" si="18"/>
        <v>0</v>
      </c>
      <c r="L88" s="26">
        <f t="shared" si="19"/>
        <v>0</v>
      </c>
      <c r="M88" s="26">
        <f t="shared" si="20"/>
        <v>0</v>
      </c>
      <c r="N88" s="26">
        <f t="shared" si="21"/>
        <v>0</v>
      </c>
    </row>
    <row r="89" spans="1:14" ht="21.6" customHeight="1" x14ac:dyDescent="0.25">
      <c r="A89" s="44"/>
      <c r="B89" s="49" t="s">
        <v>153</v>
      </c>
      <c r="C89" s="63"/>
      <c r="D89" s="63"/>
      <c r="E89" s="63"/>
      <c r="F89" s="44"/>
      <c r="H89" s="25">
        <f t="shared" si="16"/>
        <v>0</v>
      </c>
      <c r="I89" s="25">
        <f t="shared" si="17"/>
        <v>0</v>
      </c>
      <c r="J89" s="25">
        <f t="shared" si="18"/>
        <v>0</v>
      </c>
      <c r="L89" s="26">
        <f t="shared" si="19"/>
        <v>0</v>
      </c>
      <c r="M89" s="26">
        <f t="shared" si="20"/>
        <v>0</v>
      </c>
      <c r="N89" s="26">
        <f t="shared" si="21"/>
        <v>0</v>
      </c>
    </row>
    <row r="90" spans="1:14" s="24" customFormat="1" ht="15.75" x14ac:dyDescent="0.25">
      <c r="A90" s="44"/>
      <c r="B90" s="54"/>
      <c r="C90" s="44"/>
      <c r="D90" s="44"/>
      <c r="E90" s="44"/>
      <c r="F90" s="44"/>
      <c r="H90" s="25"/>
      <c r="I90" s="25"/>
      <c r="J90" s="25"/>
      <c r="L90" s="26">
        <f t="shared" si="19"/>
        <v>0</v>
      </c>
      <c r="M90" s="26">
        <f t="shared" si="20"/>
        <v>0</v>
      </c>
      <c r="N90" s="26">
        <f t="shared" si="21"/>
        <v>0</v>
      </c>
    </row>
    <row r="91" spans="1:14" s="24" customFormat="1" ht="15.75" x14ac:dyDescent="0.25">
      <c r="A91" s="44"/>
      <c r="B91" s="54"/>
      <c r="C91" s="44"/>
      <c r="D91" s="44"/>
      <c r="E91" s="44"/>
      <c r="F91" s="44"/>
      <c r="H91" s="25"/>
      <c r="I91" s="25"/>
      <c r="J91" s="25"/>
      <c r="L91" s="26">
        <f t="shared" si="19"/>
        <v>0</v>
      </c>
      <c r="M91" s="26">
        <f t="shared" si="20"/>
        <v>0</v>
      </c>
      <c r="N91" s="26">
        <f t="shared" si="21"/>
        <v>0</v>
      </c>
    </row>
    <row r="92" spans="1:14" ht="24.6" customHeight="1" x14ac:dyDescent="0.25">
      <c r="A92" s="44"/>
      <c r="B92" s="62" t="s">
        <v>154</v>
      </c>
      <c r="C92" s="94" t="s">
        <v>74</v>
      </c>
      <c r="D92" s="94" t="s">
        <v>75</v>
      </c>
      <c r="E92" s="94" t="s">
        <v>101</v>
      </c>
      <c r="F92" s="44"/>
      <c r="H92" s="25"/>
      <c r="I92" s="25"/>
      <c r="J92" s="25"/>
      <c r="L92" s="26">
        <f t="shared" si="19"/>
        <v>0</v>
      </c>
      <c r="M92" s="26">
        <f t="shared" si="20"/>
        <v>0</v>
      </c>
      <c r="N92" s="26">
        <f t="shared" si="21"/>
        <v>0</v>
      </c>
    </row>
    <row r="93" spans="1:14" ht="21.6" customHeight="1" x14ac:dyDescent="0.25">
      <c r="A93" s="44"/>
      <c r="B93" s="49" t="s">
        <v>155</v>
      </c>
      <c r="C93" s="63"/>
      <c r="D93" s="63"/>
      <c r="E93" s="63"/>
      <c r="F93" s="44"/>
      <c r="H93" s="25">
        <f t="shared" si="16"/>
        <v>0</v>
      </c>
      <c r="I93" s="25">
        <f t="shared" si="17"/>
        <v>0</v>
      </c>
      <c r="J93" s="25">
        <f t="shared" si="18"/>
        <v>0</v>
      </c>
      <c r="L93" s="26">
        <f t="shared" si="19"/>
        <v>0</v>
      </c>
      <c r="M93" s="26">
        <f t="shared" si="20"/>
        <v>0</v>
      </c>
      <c r="N93" s="26">
        <f t="shared" si="21"/>
        <v>0</v>
      </c>
    </row>
    <row r="94" spans="1:14" ht="21.6" customHeight="1" x14ac:dyDescent="0.25">
      <c r="A94" s="44"/>
      <c r="B94" s="49" t="s">
        <v>156</v>
      </c>
      <c r="C94" s="63"/>
      <c r="D94" s="63"/>
      <c r="E94" s="63"/>
      <c r="F94" s="44"/>
      <c r="H94" s="25">
        <f t="shared" si="16"/>
        <v>0</v>
      </c>
      <c r="I94" s="25">
        <f t="shared" si="17"/>
        <v>0</v>
      </c>
      <c r="J94" s="25">
        <f t="shared" si="18"/>
        <v>0</v>
      </c>
      <c r="L94" s="26">
        <f t="shared" ref="L94:L101" si="22">+IF(H94:H195=1,B94:B195,0)</f>
        <v>0</v>
      </c>
      <c r="M94" s="26">
        <f t="shared" ref="M94:M101" si="23">+IF(I94:I195=1,B94:B195,0)</f>
        <v>0</v>
      </c>
      <c r="N94" s="26">
        <f t="shared" ref="N94:N101" si="24">+IF(J94:J195=1,B94:B195,0)</f>
        <v>0</v>
      </c>
    </row>
    <row r="95" spans="1:14" ht="21.6" customHeight="1" x14ac:dyDescent="0.25">
      <c r="A95" s="44"/>
      <c r="B95" s="49" t="s">
        <v>157</v>
      </c>
      <c r="C95" s="63"/>
      <c r="D95" s="63"/>
      <c r="E95" s="63"/>
      <c r="F95" s="44"/>
      <c r="H95" s="25">
        <f t="shared" si="16"/>
        <v>0</v>
      </c>
      <c r="I95" s="25">
        <f t="shared" si="17"/>
        <v>0</v>
      </c>
      <c r="J95" s="25">
        <f t="shared" si="18"/>
        <v>0</v>
      </c>
      <c r="L95" s="26">
        <f t="shared" si="22"/>
        <v>0</v>
      </c>
      <c r="M95" s="26">
        <f t="shared" si="23"/>
        <v>0</v>
      </c>
      <c r="N95" s="26">
        <f t="shared" si="24"/>
        <v>0</v>
      </c>
    </row>
    <row r="96" spans="1:14" ht="21.6" customHeight="1" x14ac:dyDescent="0.25">
      <c r="A96" s="44"/>
      <c r="B96" s="49" t="s">
        <v>158</v>
      </c>
      <c r="C96" s="63"/>
      <c r="D96" s="63"/>
      <c r="E96" s="63"/>
      <c r="F96" s="44"/>
      <c r="H96" s="25">
        <f t="shared" si="16"/>
        <v>0</v>
      </c>
      <c r="I96" s="25">
        <f t="shared" si="17"/>
        <v>0</v>
      </c>
      <c r="J96" s="25">
        <f t="shared" si="18"/>
        <v>0</v>
      </c>
      <c r="L96" s="26">
        <f t="shared" si="22"/>
        <v>0</v>
      </c>
      <c r="M96" s="26">
        <f t="shared" si="23"/>
        <v>0</v>
      </c>
      <c r="N96" s="26">
        <f t="shared" si="24"/>
        <v>0</v>
      </c>
    </row>
    <row r="97" spans="1:14" ht="21.6" customHeight="1" x14ac:dyDescent="0.25">
      <c r="A97" s="44"/>
      <c r="B97" s="49" t="s">
        <v>159</v>
      </c>
      <c r="C97" s="63"/>
      <c r="D97" s="63"/>
      <c r="E97" s="63"/>
      <c r="F97" s="44"/>
      <c r="H97" s="25">
        <f t="shared" si="16"/>
        <v>0</v>
      </c>
      <c r="I97" s="25">
        <f t="shared" si="17"/>
        <v>0</v>
      </c>
      <c r="J97" s="25">
        <f t="shared" si="18"/>
        <v>0</v>
      </c>
      <c r="L97" s="26">
        <f t="shared" si="22"/>
        <v>0</v>
      </c>
      <c r="M97" s="26">
        <f t="shared" si="23"/>
        <v>0</v>
      </c>
      <c r="N97" s="26">
        <f t="shared" si="24"/>
        <v>0</v>
      </c>
    </row>
    <row r="98" spans="1:14" ht="21.6" customHeight="1" x14ac:dyDescent="0.25">
      <c r="A98" s="44"/>
      <c r="B98" s="49" t="s">
        <v>160</v>
      </c>
      <c r="C98" s="63"/>
      <c r="D98" s="63"/>
      <c r="E98" s="63"/>
      <c r="F98" s="44"/>
      <c r="H98" s="25">
        <f t="shared" si="16"/>
        <v>0</v>
      </c>
      <c r="I98" s="25">
        <f t="shared" si="17"/>
        <v>0</v>
      </c>
      <c r="J98" s="25">
        <f t="shared" si="18"/>
        <v>0</v>
      </c>
      <c r="L98" s="26">
        <f t="shared" si="22"/>
        <v>0</v>
      </c>
      <c r="M98" s="26">
        <f t="shared" si="23"/>
        <v>0</v>
      </c>
      <c r="N98" s="26">
        <f t="shared" si="24"/>
        <v>0</v>
      </c>
    </row>
    <row r="99" spans="1:14" ht="21.6" customHeight="1" x14ac:dyDescent="0.25">
      <c r="A99" s="44"/>
      <c r="B99" s="49" t="s">
        <v>161</v>
      </c>
      <c r="C99" s="63"/>
      <c r="D99" s="63"/>
      <c r="E99" s="63"/>
      <c r="F99" s="44"/>
      <c r="H99" s="25">
        <f t="shared" si="16"/>
        <v>0</v>
      </c>
      <c r="I99" s="25">
        <f t="shared" si="17"/>
        <v>0</v>
      </c>
      <c r="J99" s="25">
        <f t="shared" si="18"/>
        <v>0</v>
      </c>
      <c r="L99" s="26">
        <f t="shared" si="22"/>
        <v>0</v>
      </c>
      <c r="M99" s="26">
        <f t="shared" si="23"/>
        <v>0</v>
      </c>
      <c r="N99" s="26">
        <f t="shared" si="24"/>
        <v>0</v>
      </c>
    </row>
    <row r="100" spans="1:14" ht="21.6" customHeight="1" x14ac:dyDescent="0.25">
      <c r="A100" s="44"/>
      <c r="B100" s="49" t="s">
        <v>162</v>
      </c>
      <c r="C100" s="63"/>
      <c r="D100" s="63"/>
      <c r="E100" s="63"/>
      <c r="F100" s="44"/>
      <c r="H100" s="25">
        <f t="shared" si="16"/>
        <v>0</v>
      </c>
      <c r="I100" s="25">
        <f t="shared" si="17"/>
        <v>0</v>
      </c>
      <c r="J100" s="25">
        <f t="shared" si="18"/>
        <v>0</v>
      </c>
      <c r="L100" s="26">
        <f t="shared" si="22"/>
        <v>0</v>
      </c>
      <c r="M100" s="26">
        <f t="shared" si="23"/>
        <v>0</v>
      </c>
      <c r="N100" s="26">
        <f t="shared" si="24"/>
        <v>0</v>
      </c>
    </row>
    <row r="101" spans="1:14" ht="21.6" customHeight="1" x14ac:dyDescent="0.25">
      <c r="A101" s="44"/>
      <c r="B101" s="49" t="s">
        <v>163</v>
      </c>
      <c r="C101" s="63"/>
      <c r="D101" s="63"/>
      <c r="E101" s="63"/>
      <c r="F101" s="44"/>
      <c r="H101" s="25">
        <f t="shared" si="16"/>
        <v>0</v>
      </c>
      <c r="I101" s="25">
        <f t="shared" si="17"/>
        <v>0</v>
      </c>
      <c r="J101" s="25">
        <f t="shared" si="18"/>
        <v>0</v>
      </c>
      <c r="L101" s="26">
        <f t="shared" si="22"/>
        <v>0</v>
      </c>
      <c r="M101" s="26">
        <f t="shared" si="23"/>
        <v>0</v>
      </c>
      <c r="N101" s="26">
        <f t="shared" si="24"/>
        <v>0</v>
      </c>
    </row>
    <row r="102" spans="1:14" x14ac:dyDescent="0.25">
      <c r="A102" s="44"/>
      <c r="B102" s="44"/>
      <c r="C102" s="44"/>
      <c r="D102" s="44"/>
      <c r="E102" s="44"/>
      <c r="F102" s="44"/>
    </row>
    <row r="103" spans="1:14" ht="15.75" customHeight="1" x14ac:dyDescent="0.25">
      <c r="A103" s="44"/>
      <c r="B103" s="121" t="str">
        <f xml:space="preserve"> IF(K3=K1, "Continuer...", "Por favor, verifique: Respuesta(s) faltante(s) o marcó más de una X.")</f>
        <v>Por favor, verifique: Respuesta(s) faltante(s) o marcó más de una X.</v>
      </c>
      <c r="C103" s="44"/>
      <c r="D103" s="44"/>
      <c r="E103" s="44"/>
      <c r="F103" s="44"/>
    </row>
    <row r="104" spans="1:14" x14ac:dyDescent="0.25">
      <c r="A104" s="44"/>
      <c r="B104" s="121"/>
      <c r="C104" s="44"/>
      <c r="D104" s="44"/>
      <c r="E104" s="44"/>
      <c r="F104" s="44"/>
    </row>
    <row r="105" spans="1:14" x14ac:dyDescent="0.25">
      <c r="A105" s="44"/>
      <c r="B105" s="121"/>
      <c r="C105" s="44"/>
      <c r="D105" s="44"/>
      <c r="E105" s="44"/>
      <c r="F105" s="44"/>
    </row>
    <row r="106" spans="1:14" x14ac:dyDescent="0.25"/>
    <row r="107" spans="1:14" hidden="1" x14ac:dyDescent="0.25"/>
    <row r="108" spans="1:14" hidden="1" x14ac:dyDescent="0.25"/>
    <row r="109" spans="1:14" hidden="1" x14ac:dyDescent="0.25"/>
    <row r="110" spans="1:14" hidden="1" x14ac:dyDescent="0.25"/>
  </sheetData>
  <mergeCells count="4">
    <mergeCell ref="B1:E1"/>
    <mergeCell ref="B29:C29"/>
    <mergeCell ref="B75:E75"/>
    <mergeCell ref="B103:B105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K106"/>
  <sheetViews>
    <sheetView showGridLines="0" zoomScale="90" zoomScaleNormal="90" workbookViewId="0">
      <selection activeCell="H9" sqref="H9"/>
    </sheetView>
  </sheetViews>
  <sheetFormatPr baseColWidth="10" defaultColWidth="0" defaultRowHeight="15" zeroHeight="1" x14ac:dyDescent="0.25"/>
  <cols>
    <col min="1" max="1" width="4.5703125" customWidth="1"/>
    <col min="2" max="2" width="40.42578125" customWidth="1"/>
    <col min="3" max="3" width="6.140625" customWidth="1"/>
    <col min="4" max="4" width="5" customWidth="1"/>
    <col min="5" max="5" width="40.28515625" customWidth="1"/>
    <col min="6" max="6" width="7" customWidth="1"/>
    <col min="7" max="7" width="5.42578125" customWidth="1"/>
    <col min="8" max="8" width="40.5703125" customWidth="1"/>
    <col min="9" max="9" width="9.42578125" customWidth="1"/>
    <col min="10" max="10" width="3.5703125" customWidth="1"/>
    <col min="11" max="16384" width="11.42578125" hidden="1"/>
  </cols>
  <sheetData>
    <row r="1" spans="2:11" ht="36.950000000000003" customHeight="1" thickBot="1" x14ac:dyDescent="0.3">
      <c r="B1" s="123"/>
      <c r="C1" s="123"/>
      <c r="D1" s="22"/>
      <c r="E1" s="122" t="s">
        <v>164</v>
      </c>
      <c r="F1" s="122"/>
      <c r="G1" s="22"/>
      <c r="H1" s="22"/>
      <c r="I1" s="22"/>
    </row>
    <row r="2" spans="2:11" ht="36.950000000000003" customHeight="1" thickBot="1" x14ac:dyDescent="0.3">
      <c r="B2" s="77" t="s">
        <v>13</v>
      </c>
      <c r="C2" s="23">
        <f>Clasificacion!H3</f>
        <v>0</v>
      </c>
      <c r="E2" s="77" t="s">
        <v>14</v>
      </c>
      <c r="F2" s="23">
        <f>Clasificacion!I3</f>
        <v>0</v>
      </c>
      <c r="H2" s="77" t="s">
        <v>15</v>
      </c>
      <c r="I2" s="23">
        <f>Clasificacion!J3</f>
        <v>0</v>
      </c>
      <c r="K2" s="21">
        <v>1</v>
      </c>
    </row>
    <row r="3" spans="2:11" ht="48" customHeight="1" x14ac:dyDescent="0.25">
      <c r="B3" s="37" t="str">
        <f t="array" aca="1" ref="B3" ca="1">IF(ROWS(B$3:B3)&lt;=$C$2,INDEX(INDIRECT(B$2),SMALL(IF(V._FT=$K$2,ROW(V._FT)-ROW(Clasificacion!$H$5)+1),ROWS(B$3:B3))),"")</f>
        <v/>
      </c>
      <c r="C3" s="38"/>
      <c r="D3" s="19"/>
      <c r="E3" s="37" t="str">
        <f t="array" aca="1" ref="E3" ca="1">IF(ROWS(E$3:E3)&lt;=$F$2,INDEX(INDIRECT(E$2),SMALL(IF(V._M=$K$2,ROW(V._M)-ROW(Clasificacion!$M$5)+1),ROWS(E$3:E3))),"")</f>
        <v/>
      </c>
      <c r="F3" s="38"/>
      <c r="G3" s="19"/>
      <c r="H3" s="37" t="str">
        <f t="array" aca="1" ref="H3" ca="1">IF(ROWS(H$3:H3)&lt;=$I$2,INDEX(INDIRECT(H$2),SMALL(IF(V._FB=$K$2,ROW(V._FB)-ROW(Clasificacion!$N$5)+1),ROWS(H$3:H3))),"")</f>
        <v/>
      </c>
      <c r="I3" s="38"/>
    </row>
    <row r="4" spans="2:11" ht="28.5" customHeight="1" x14ac:dyDescent="0.25">
      <c r="B4" s="39" t="str">
        <f t="array" aca="1" ref="B4" ca="1">IF(ROWS(B$3:B4)&lt;=$C$2,INDEX(INDIRECT(B$2),SMALL(IF(V._FT=$K$2,ROW(V._FT)-ROW(Clasificacion!$H$5)+1),ROWS(B$3:B4))),"")</f>
        <v/>
      </c>
      <c r="C4" s="40"/>
      <c r="D4" s="19"/>
      <c r="E4" s="39" t="str">
        <f t="array" aca="1" ref="E4" ca="1">IF(ROWS(E$3:E4)&lt;=$F$2,INDEX(INDIRECT(E$2),SMALL(IF(V._M=$K$2,ROW(V._M)-ROW(Clasificacion!$M$5)+1),ROWS(E$3:E4))),"")</f>
        <v/>
      </c>
      <c r="F4" s="40"/>
      <c r="G4" s="19"/>
      <c r="H4" s="39" t="str">
        <f t="array" aca="1" ref="H4" ca="1">IF(ROWS(H$3:H4)&lt;=$I$2,INDEX(INDIRECT(H$2),SMALL(IF(V._FB=$K$2,ROW(V._FB)-ROW(Clasificacion!$N$5)+1),ROWS(H$3:H4))),"")</f>
        <v/>
      </c>
      <c r="I4" s="40"/>
    </row>
    <row r="5" spans="2:11" x14ac:dyDescent="0.25">
      <c r="B5" s="39" t="str">
        <f t="array" aca="1" ref="B5" ca="1">IF(ROWS(B$3:B5)&lt;=$C$2,INDEX(INDIRECT(B$2),SMALL(IF(V._FT=$K$2,ROW(V._FT)-ROW(Clasificacion!$H$5)+1),ROWS(B$3:B5))),"")</f>
        <v/>
      </c>
      <c r="C5" s="40"/>
      <c r="D5" s="19"/>
      <c r="E5" s="39" t="str">
        <f t="array" aca="1" ref="E5" ca="1">IF(ROWS(E$3:E5)&lt;=$F$2,INDEX(INDIRECT(E$2),SMALL(IF(V._M=$K$2,ROW(V._M)-ROW(Clasificacion!$M$5)+1),ROWS(E$3:E5))),"")</f>
        <v/>
      </c>
      <c r="F5" s="40"/>
      <c r="G5" s="19"/>
      <c r="H5" s="39" t="str">
        <f t="array" aca="1" ref="H5" ca="1">IF(ROWS(H$3:H5)&lt;=$I$2,INDEX(INDIRECT(H$2),SMALL(IF(V._FB=$K$2,ROW(V._FB)-ROW(Clasificacion!$N$5)+1),ROWS(H$3:H5))),"")</f>
        <v/>
      </c>
      <c r="I5" s="40"/>
    </row>
    <row r="6" spans="2:11" ht="26.45" customHeight="1" x14ac:dyDescent="0.25">
      <c r="B6" s="39" t="str">
        <f t="array" aca="1" ref="B6" ca="1">IF(ROWS(B$3:B6)&lt;=$C$2,INDEX(INDIRECT(B$2),SMALL(IF(V._FT=$K$2,ROW(V._FT)-ROW(Clasificacion!$H$5)+1),ROWS(B$3:B6))),"")</f>
        <v/>
      </c>
      <c r="C6" s="40"/>
      <c r="D6" s="19"/>
      <c r="E6" s="39" t="str">
        <f t="array" aca="1" ref="E6" ca="1">IF(ROWS(E$3:E6)&lt;=$F$2,INDEX(INDIRECT(E$2),SMALL(IF(V._M=$K$2,ROW(V._M)-ROW(Clasificacion!$M$5)+1),ROWS(E$3:E6))),"")</f>
        <v/>
      </c>
      <c r="F6" s="40"/>
      <c r="G6" s="19"/>
      <c r="H6" s="39" t="str">
        <f t="array" aca="1" ref="H6" ca="1">IF(ROWS(H$3:H6)&lt;=$I$2,INDEX(INDIRECT(H$2),SMALL(IF(V._FB=$K$2,ROW(V._FB)-ROW(Clasificacion!$N$5)+1),ROWS(H$3:H6))),"")</f>
        <v/>
      </c>
      <c r="I6" s="40"/>
    </row>
    <row r="7" spans="2:11" ht="25.5" customHeight="1" x14ac:dyDescent="0.25">
      <c r="B7" s="39" t="str">
        <f t="array" aca="1" ref="B7" ca="1">IF(ROWS(B$3:B7)&lt;=$C$2,INDEX(INDIRECT(B$2),SMALL(IF(V._FT=$K$2,ROW(V._FT)-ROW(Clasificacion!$H$5)+1),ROWS(B$3:B7))),"")</f>
        <v/>
      </c>
      <c r="C7" s="40"/>
      <c r="D7" s="19"/>
      <c r="E7" s="39" t="str">
        <f t="array" aca="1" ref="E7" ca="1">IF(ROWS(E$3:E7)&lt;=$F$2,INDEX(INDIRECT(E$2),SMALL(IF(V._M=$K$2,ROW(V._M)-ROW(Clasificacion!$M$5)+1),ROWS(E$3:E7))),"")</f>
        <v/>
      </c>
      <c r="F7" s="40"/>
      <c r="G7" s="19"/>
      <c r="H7" s="39" t="str">
        <f t="array" aca="1" ref="H7" ca="1">IF(ROWS(H$3:H7)&lt;=$I$2,INDEX(INDIRECT(H$2),SMALL(IF(V._FB=$K$2,ROW(V._FB)-ROW(Clasificacion!$N$5)+1),ROWS(H$3:H7))),"")</f>
        <v/>
      </c>
      <c r="I7" s="40"/>
    </row>
    <row r="8" spans="2:11" x14ac:dyDescent="0.25">
      <c r="B8" s="39" t="str">
        <f t="array" aca="1" ref="B8" ca="1">IF(ROWS(B$3:B8)&lt;=$C$2,INDEX(INDIRECT(B$2),SMALL(IF(V._FT=$K$2,ROW(V._FT)-ROW(Clasificacion!$H$5)+1),ROWS(B$3:B8))),"")</f>
        <v/>
      </c>
      <c r="C8" s="40"/>
      <c r="D8" s="19"/>
      <c r="E8" s="39" t="str">
        <f t="array" aca="1" ref="E8" ca="1">IF(ROWS(E$3:E8)&lt;=$F$2,INDEX(INDIRECT(E$2),SMALL(IF(V._M=$K$2,ROW(V._M)-ROW(Clasificacion!$M$5)+1),ROWS(E$3:E8))),"")</f>
        <v/>
      </c>
      <c r="F8" s="40"/>
      <c r="G8" s="19"/>
      <c r="H8" s="39" t="str">
        <f t="array" aca="1" ref="H8" ca="1">IF(ROWS(H$3:H8)&lt;=$I$2,INDEX(INDIRECT(H$2),SMALL(IF(V._FB=$K$2,ROW(V._FB)-ROW(Clasificacion!$N$5)+1),ROWS(H$3:H8))),"")</f>
        <v/>
      </c>
      <c r="I8" s="40"/>
    </row>
    <row r="9" spans="2:11" x14ac:dyDescent="0.25">
      <c r="B9" s="39" t="str">
        <f t="array" aca="1" ref="B9" ca="1">IF(ROWS(B$3:B9)&lt;=$C$2,INDEX(INDIRECT(B$2),SMALL(IF(V._FT=$K$2,ROW(V._FT)-ROW(Clasificacion!$H$5)+1),ROWS(B$3:B9))),"")</f>
        <v/>
      </c>
      <c r="C9" s="40"/>
      <c r="D9" s="19"/>
      <c r="E9" s="39" t="str">
        <f t="array" aca="1" ref="E9" ca="1">IF(ROWS(E$3:E9)&lt;=$F$2,INDEX(INDIRECT(E$2),SMALL(IF(V._M=$K$2,ROW(V._M)-ROW(Clasificacion!$M$5)+1),ROWS(E$3:E9))),"")</f>
        <v/>
      </c>
      <c r="F9" s="40"/>
      <c r="G9" s="19"/>
      <c r="H9" s="39" t="str">
        <f t="array" aca="1" ref="H9" ca="1">IF(ROWS(H$3:H9)&lt;=$I$2,INDEX(INDIRECT(H$2),SMALL(IF(V._FB=$K$2,ROW(V._FB)-ROW(Clasificacion!$N$5)+1),ROWS(H$3:H9))),"")</f>
        <v/>
      </c>
      <c r="I9" s="40"/>
    </row>
    <row r="10" spans="2:11" x14ac:dyDescent="0.25">
      <c r="B10" s="39" t="str">
        <f t="array" aca="1" ref="B10" ca="1">IF(ROWS(B$3:B10)&lt;=$C$2,INDEX(INDIRECT(B$2),SMALL(IF(V._FT=$K$2,ROW(V._FT)-ROW(Clasificacion!$H$5)+1),ROWS(B$3:B10))),"")</f>
        <v/>
      </c>
      <c r="C10" s="40"/>
      <c r="D10" s="19"/>
      <c r="E10" s="39" t="str">
        <f t="array" aca="1" ref="E10" ca="1">IF(ROWS(E$3:E10)&lt;=$F$2,INDEX(INDIRECT(E$2),SMALL(IF(V._M=$K$2,ROW(V._M)-ROW(Clasificacion!$M$5)+1),ROWS(E$3:E10))),"")</f>
        <v/>
      </c>
      <c r="F10" s="40"/>
      <c r="G10" s="19"/>
      <c r="H10" s="39" t="str">
        <f t="array" aca="1" ref="H10" ca="1">IF(ROWS(H$3:H10)&lt;=$I$2,INDEX(INDIRECT(H$2),SMALL(IF(V._FB=$K$2,ROW(V._FB)-ROW(Clasificacion!$N$5)+1),ROWS(H$3:H10))),"")</f>
        <v/>
      </c>
      <c r="I10" s="40"/>
    </row>
    <row r="11" spans="2:11" ht="24.95" customHeight="1" x14ac:dyDescent="0.25">
      <c r="B11" s="39" t="str">
        <f t="array" aca="1" ref="B11" ca="1">IF(ROWS(B$3:B11)&lt;=$C$2,INDEX(INDIRECT(B$2),SMALL(IF(V._FT=$K$2,ROW(V._FT)-ROW(Clasificacion!$H$5)+1),ROWS(B$3:B11))),"")</f>
        <v/>
      </c>
      <c r="C11" s="40"/>
      <c r="D11" s="19"/>
      <c r="E11" s="39" t="str">
        <f t="array" aca="1" ref="E11" ca="1">IF(ROWS(E$3:E11)&lt;=$F$2,INDEX(INDIRECT(E$2),SMALL(IF(V._M=$K$2,ROW(V._M)-ROW(Clasificacion!$M$5)+1),ROWS(E$3:E11))),"")</f>
        <v/>
      </c>
      <c r="F11" s="40"/>
      <c r="G11" s="19"/>
      <c r="H11" s="39" t="str">
        <f t="array" aca="1" ref="H11" ca="1">IF(ROWS(H$3:H11)&lt;=$I$2,INDEX(INDIRECT(H$2),SMALL(IF(V._FB=$K$2,ROW(V._FB)-ROW(Clasificacion!$N$5)+1),ROWS(H$3:H11))),"")</f>
        <v/>
      </c>
      <c r="I11" s="40"/>
    </row>
    <row r="12" spans="2:11" x14ac:dyDescent="0.25">
      <c r="B12" s="39" t="str">
        <f t="array" aca="1" ref="B12" ca="1">IF(ROWS(B$3:B12)&lt;=$C$2,INDEX(INDIRECT(B$2),SMALL(IF(V._FT=$K$2,ROW(V._FT)-ROW(Clasificacion!$H$5)+1),ROWS(B$3:B12))),"")</f>
        <v/>
      </c>
      <c r="C12" s="40"/>
      <c r="D12" s="19"/>
      <c r="E12" s="39" t="str">
        <f t="array" aca="1" ref="E12" ca="1">IF(ROWS(E$3:E12)&lt;=$F$2,INDEX(INDIRECT(E$2),SMALL(IF(V._M=$K$2,ROW(V._M)-ROW(Clasificacion!$M$5)+1),ROWS(E$3:E12))),"")</f>
        <v/>
      </c>
      <c r="F12" s="40"/>
      <c r="G12" s="19"/>
      <c r="H12" s="39" t="str">
        <f t="array" aca="1" ref="H12" ca="1">IF(ROWS(H$3:H12)&lt;=$I$2,INDEX(INDIRECT(H$2),SMALL(IF(V._FB=$K$2,ROW(V._FB)-ROW(Clasificacion!$N$5)+1),ROWS(H$3:H12))),"")</f>
        <v/>
      </c>
      <c r="I12" s="40"/>
    </row>
    <row r="13" spans="2:11" x14ac:dyDescent="0.25">
      <c r="B13" s="39" t="str">
        <f t="array" aca="1" ref="B13" ca="1">IF(ROWS(B$3:B13)&lt;=$C$2,INDEX(INDIRECT(B$2),SMALL(IF(V._FT=$K$2,ROW(V._FT)-ROW(Clasificacion!$H$5)+1),ROWS(B$3:B13))),"")</f>
        <v/>
      </c>
      <c r="C13" s="40"/>
      <c r="D13" s="19"/>
      <c r="E13" s="39" t="str">
        <f t="array" aca="1" ref="E13" ca="1">IF(ROWS(E$3:E13)&lt;=$F$2,INDEX(INDIRECT(E$2),SMALL(IF(V._M=$K$2,ROW(V._M)-ROW(Clasificacion!$M$5)+1),ROWS(E$3:E13))),"")</f>
        <v/>
      </c>
      <c r="F13" s="40"/>
      <c r="G13" s="19"/>
      <c r="H13" s="39" t="str">
        <f t="array" aca="1" ref="H13" ca="1">IF(ROWS(H$3:H13)&lt;=$I$2,INDEX(INDIRECT(H$2),SMALL(IF(V._FB=$K$2,ROW(V._FB)-ROW(Clasificacion!$N$5)+1),ROWS(H$3:H13))),"")</f>
        <v/>
      </c>
      <c r="I13" s="40"/>
    </row>
    <row r="14" spans="2:11" x14ac:dyDescent="0.25">
      <c r="B14" s="39" t="str">
        <f t="array" aca="1" ref="B14" ca="1">IF(ROWS(B$3:B14)&lt;=$C$2,INDEX(INDIRECT(B$2),SMALL(IF(V._FT=$K$2,ROW(V._FT)-ROW(Clasificacion!$H$5)+1),ROWS(B$3:B14))),"")</f>
        <v/>
      </c>
      <c r="C14" s="40"/>
      <c r="D14" s="19"/>
      <c r="E14" s="39" t="str">
        <f t="array" aca="1" ref="E14" ca="1">IF(ROWS(E$3:E14)&lt;=$F$2,INDEX(INDIRECT(E$2),SMALL(IF(V._M=$K$2,ROW(V._M)-ROW(Clasificacion!$M$5)+1),ROWS(E$3:E14))),"")</f>
        <v/>
      </c>
      <c r="F14" s="40"/>
      <c r="G14" s="19"/>
      <c r="H14" s="39" t="str">
        <f t="array" aca="1" ref="H14" ca="1">IF(ROWS(H$3:H14)&lt;=$I$2,INDEX(INDIRECT(H$2),SMALL(IF(V._FB=$K$2,ROW(V._FB)-ROW(Clasificacion!$N$5)+1),ROWS(H$3:H14))),"")</f>
        <v/>
      </c>
      <c r="I14" s="40"/>
    </row>
    <row r="15" spans="2:11" ht="25.5" customHeight="1" x14ac:dyDescent="0.25">
      <c r="B15" s="39" t="str">
        <f t="array" aca="1" ref="B15" ca="1">IF(ROWS(B$3:B15)&lt;=$C$2,INDEX(INDIRECT(B$2),SMALL(IF(V._FT=$K$2,ROW(V._FT)-ROW(Clasificacion!$H$5)+1),ROWS(B$3:B15))),"")</f>
        <v/>
      </c>
      <c r="C15" s="40"/>
      <c r="D15" s="19"/>
      <c r="E15" s="39" t="str">
        <f t="array" aca="1" ref="E15" ca="1">IF(ROWS(E$3:E15)&lt;=$F$2,INDEX(INDIRECT(E$2),SMALL(IF(V._M=$K$2,ROW(V._M)-ROW(Clasificacion!$M$5)+1),ROWS(E$3:E15))),"")</f>
        <v/>
      </c>
      <c r="F15" s="40"/>
      <c r="G15" s="19"/>
      <c r="H15" s="39" t="str">
        <f t="array" aca="1" ref="H15" ca="1">IF(ROWS(H$3:H15)&lt;=$I$2,INDEX(INDIRECT(H$2),SMALL(IF(V._FB=$K$2,ROW(V._FB)-ROW(Clasificacion!$N$5)+1),ROWS(H$3:H15))),"")</f>
        <v/>
      </c>
      <c r="I15" s="40"/>
    </row>
    <row r="16" spans="2:11" ht="26.45" customHeight="1" x14ac:dyDescent="0.25">
      <c r="B16" s="39" t="str">
        <f t="array" aca="1" ref="B16" ca="1">IF(ROWS(B$3:B16)&lt;=$C$2,INDEX(INDIRECT(B$2),SMALL(IF(V._FT=$K$2,ROW(V._FT)-ROW(Clasificacion!$H$5)+1),ROWS(B$3:B16))),"")</f>
        <v/>
      </c>
      <c r="C16" s="40"/>
      <c r="D16" s="19"/>
      <c r="E16" s="39" t="str">
        <f t="array" aca="1" ref="E16" ca="1">IF(ROWS(E$3:E16)&lt;=$F$2,INDEX(INDIRECT(E$2),SMALL(IF(V._M=$K$2,ROW(V._M)-ROW(Clasificacion!$M$5)+1),ROWS(E$3:E16))),"")</f>
        <v/>
      </c>
      <c r="F16" s="40"/>
      <c r="G16" s="19"/>
      <c r="H16" s="39" t="str">
        <f t="array" aca="1" ref="H16" ca="1">IF(ROWS(H$3:H16)&lt;=$I$2,INDEX(INDIRECT(H$2),SMALL(IF(V._FB=$K$2,ROW(V._FB)-ROW(Clasificacion!$N$5)+1),ROWS(H$3:H16))),"")</f>
        <v/>
      </c>
      <c r="I16" s="40"/>
    </row>
    <row r="17" spans="2:9" ht="25.5" customHeight="1" x14ac:dyDescent="0.25">
      <c r="B17" s="39" t="str">
        <f t="array" aca="1" ref="B17" ca="1">IF(ROWS(B$3:B17)&lt;=$C$2,INDEX(INDIRECT(B$2),SMALL(IF(V._FT=$K$2,ROW(V._FT)-ROW(Clasificacion!$H$5)+1),ROWS(B$3:B17))),"")</f>
        <v/>
      </c>
      <c r="C17" s="40"/>
      <c r="D17" s="19"/>
      <c r="E17" s="39" t="str">
        <f t="array" aca="1" ref="E17" ca="1">IF(ROWS(E$3:E17)&lt;=$F$2,INDEX(INDIRECT(E$2),SMALL(IF(V._M=$K$2,ROW(V._M)-ROW(Clasificacion!$M$5)+1),ROWS(E$3:E17))),"")</f>
        <v/>
      </c>
      <c r="F17" s="40"/>
      <c r="G17" s="19"/>
      <c r="H17" s="39" t="str">
        <f t="array" aca="1" ref="H17" ca="1">IF(ROWS(H$3:H17)&lt;=$I$2,INDEX(INDIRECT(H$2),SMALL(IF(V._FB=$K$2,ROW(V._FB)-ROW(Clasificacion!$N$5)+1),ROWS(H$3:H17))),"")</f>
        <v/>
      </c>
      <c r="I17" s="40"/>
    </row>
    <row r="18" spans="2:9" ht="29.1" customHeight="1" x14ac:dyDescent="0.25">
      <c r="B18" s="39" t="str">
        <f t="array" aca="1" ref="B18" ca="1">IF(ROWS(B$3:B18)&lt;=$C$2,INDEX(INDIRECT(B$2),SMALL(IF(V._FT=$K$2,ROW(V._FT)-ROW(Clasificacion!$H$5)+1),ROWS(B$3:B18))),"")</f>
        <v/>
      </c>
      <c r="C18" s="40"/>
      <c r="D18" s="19"/>
      <c r="E18" s="39" t="str">
        <f t="array" aca="1" ref="E18" ca="1">IF(ROWS(E$3:E18)&lt;=$F$2,INDEX(INDIRECT(E$2),SMALL(IF(V._M=$K$2,ROW(V._M)-ROW(Clasificacion!$M$5)+1),ROWS(E$3:E18))),"")</f>
        <v/>
      </c>
      <c r="F18" s="40"/>
      <c r="G18" s="19"/>
      <c r="H18" s="39" t="str">
        <f t="array" aca="1" ref="H18" ca="1">IF(ROWS(H$3:H18)&lt;=$I$2,INDEX(INDIRECT(H$2),SMALL(IF(V._FB=$K$2,ROW(V._FB)-ROW(Clasificacion!$N$5)+1),ROWS(H$3:H18))),"")</f>
        <v/>
      </c>
      <c r="I18" s="40"/>
    </row>
    <row r="19" spans="2:9" ht="28.5" customHeight="1" x14ac:dyDescent="0.25">
      <c r="B19" s="39" t="str">
        <f t="array" aca="1" ref="B19" ca="1">IF(ROWS(B$3:B19)&lt;=$C$2,INDEX(INDIRECT(B$2),SMALL(IF(V._FT=$K$2,ROW(V._FT)-ROW(Clasificacion!$H$5)+1),ROWS(B$3:B19))),"")</f>
        <v/>
      </c>
      <c r="C19" s="40"/>
      <c r="D19" s="19"/>
      <c r="E19" s="39" t="str">
        <f t="array" aca="1" ref="E19" ca="1">IF(ROWS(E$3:E19)&lt;=$F$2,INDEX(INDIRECT(E$2),SMALL(IF(V._M=$K$2,ROW(V._M)-ROW(Clasificacion!$M$5)+1),ROWS(E$3:E19))),"")</f>
        <v/>
      </c>
      <c r="F19" s="40"/>
      <c r="G19" s="19"/>
      <c r="H19" s="39" t="str">
        <f t="array" aca="1" ref="H19" ca="1">IF(ROWS(H$3:H19)&lt;=$I$2,INDEX(INDIRECT(H$2),SMALL(IF(V._FB=$K$2,ROW(V._FB)-ROW(Clasificacion!$N$5)+1),ROWS(H$3:H19))),"")</f>
        <v/>
      </c>
      <c r="I19" s="40"/>
    </row>
    <row r="20" spans="2:9" ht="30.6" customHeight="1" x14ac:dyDescent="0.25">
      <c r="B20" s="39" t="str">
        <f t="array" aca="1" ref="B20" ca="1">IF(ROWS(B$3:B20)&lt;=$C$2,INDEX(INDIRECT(B$2),SMALL(IF(V._FT=$K$2,ROW(V._FT)-ROW(Clasificacion!$H$5)+1),ROWS(B$3:B20))),"")</f>
        <v/>
      </c>
      <c r="C20" s="40"/>
      <c r="D20" s="19"/>
      <c r="E20" s="39" t="str">
        <f t="array" aca="1" ref="E20" ca="1">IF(ROWS(E$3:E20)&lt;=$F$2,INDEX(INDIRECT(E$2),SMALL(IF(V._M=$K$2,ROW(V._M)-ROW(Clasificacion!$M$5)+1),ROWS(E$3:E20))),"")</f>
        <v/>
      </c>
      <c r="F20" s="40"/>
      <c r="G20" s="19"/>
      <c r="H20" s="39" t="str">
        <f t="array" aca="1" ref="H20" ca="1">IF(ROWS(H$3:H20)&lt;=$I$2,INDEX(INDIRECT(H$2),SMALL(IF(V._FB=$K$2,ROW(V._FB)-ROW(Clasificacion!$N$5)+1),ROWS(H$3:H20))),"")</f>
        <v/>
      </c>
      <c r="I20" s="40"/>
    </row>
    <row r="21" spans="2:9" ht="27.95" customHeight="1" x14ac:dyDescent="0.25">
      <c r="B21" s="39" t="str">
        <f t="array" aca="1" ref="B21" ca="1">IF(ROWS(B$3:B21)&lt;=$C$2,INDEX(INDIRECT(B$2),SMALL(IF(V._FT=$K$2,ROW(V._FT)-ROW(Clasificacion!$H$5)+1),ROWS(B$3:B21))),"")</f>
        <v/>
      </c>
      <c r="C21" s="40"/>
      <c r="D21" s="19"/>
      <c r="E21" s="39" t="str">
        <f t="array" aca="1" ref="E21" ca="1">IF(ROWS(E$3:E21)&lt;=$F$2,INDEX(INDIRECT(E$2),SMALL(IF(V._M=$K$2,ROW(V._M)-ROW(Clasificacion!$M$5)+1),ROWS(E$3:E21))),"")</f>
        <v/>
      </c>
      <c r="F21" s="40"/>
      <c r="G21" s="19"/>
      <c r="H21" s="39" t="str">
        <f t="array" aca="1" ref="H21" ca="1">IF(ROWS(H$3:H21)&lt;=$I$2,INDEX(INDIRECT(H$2),SMALL(IF(V._FB=$K$2,ROW(V._FB)-ROW(Clasificacion!$N$5)+1),ROWS(H$3:H21))),"")</f>
        <v/>
      </c>
      <c r="I21" s="40"/>
    </row>
    <row r="22" spans="2:9" ht="26.45" customHeight="1" x14ac:dyDescent="0.25">
      <c r="B22" s="39" t="str">
        <f t="array" aca="1" ref="B22" ca="1">IF(ROWS(B$3:B22)&lt;=$C$2,INDEX(INDIRECT(B$2),SMALL(IF(V._FT=$K$2,ROW(V._FT)-ROW(Clasificacion!$H$5)+1),ROWS(B$3:B22))),"")</f>
        <v/>
      </c>
      <c r="C22" s="40"/>
      <c r="D22" s="19"/>
      <c r="E22" s="39" t="str">
        <f t="array" aca="1" ref="E22" ca="1">IF(ROWS(E$3:E22)&lt;=$F$2,INDEX(INDIRECT(E$2),SMALL(IF(V._M=$K$2,ROW(V._M)-ROW(Clasificacion!$M$5)+1),ROWS(E$3:E22))),"")</f>
        <v/>
      </c>
      <c r="F22" s="40"/>
      <c r="G22" s="19"/>
      <c r="H22" s="39" t="str">
        <f t="array" aca="1" ref="H22" ca="1">IF(ROWS(H$3:H22)&lt;=$I$2,INDEX(INDIRECT(H$2),SMALL(IF(V._FB=$K$2,ROW(V._FB)-ROW(Clasificacion!$N$5)+1),ROWS(H$3:H22))),"")</f>
        <v/>
      </c>
      <c r="I22" s="40"/>
    </row>
    <row r="23" spans="2:9" ht="27.95" customHeight="1" x14ac:dyDescent="0.25">
      <c r="B23" s="39" t="str">
        <f t="array" aca="1" ref="B23" ca="1">IF(ROWS(B$3:B23)&lt;=$C$2,INDEX(INDIRECT(B$2),SMALL(IF(V._FT=$K$2,ROW(V._FT)-ROW(Clasificacion!$H$5)+1),ROWS(B$3:B23))),"")</f>
        <v/>
      </c>
      <c r="C23" s="40"/>
      <c r="D23" s="19"/>
      <c r="E23" s="39" t="str">
        <f t="array" aca="1" ref="E23" ca="1">IF(ROWS(E$3:E23)&lt;=$F$2,INDEX(INDIRECT(E$2),SMALL(IF(V._M=$K$2,ROW(V._M)-ROW(Clasificacion!$M$5)+1),ROWS(E$3:E23))),"")</f>
        <v/>
      </c>
      <c r="F23" s="40"/>
      <c r="G23" s="19"/>
      <c r="H23" s="39" t="str">
        <f t="array" aca="1" ref="H23" ca="1">IF(ROWS(H$3:H23)&lt;=$I$2,INDEX(INDIRECT(H$2),SMALL(IF(V._FB=$K$2,ROW(V._FB)-ROW(Clasificacion!$N$5)+1),ROWS(H$3:H23))),"")</f>
        <v/>
      </c>
      <c r="I23" s="40"/>
    </row>
    <row r="24" spans="2:9" ht="28.5" customHeight="1" x14ac:dyDescent="0.25">
      <c r="B24" s="39" t="str">
        <f t="array" aca="1" ref="B24" ca="1">IF(ROWS(B$3:B24)&lt;=$C$2,INDEX(INDIRECT(B$2),SMALL(IF(V._FT=$K$2,ROW(V._FT)-ROW(Clasificacion!$H$5)+1),ROWS(B$3:B24))),"")</f>
        <v/>
      </c>
      <c r="C24" s="40"/>
      <c r="D24" s="19"/>
      <c r="E24" s="39" t="str">
        <f t="array" aca="1" ref="E24" ca="1">IF(ROWS(E$3:E24)&lt;=$F$2,INDEX(INDIRECT(E$2),SMALL(IF(V._M=$K$2,ROW(V._M)-ROW(Clasificacion!$M$5)+1),ROWS(E$3:E24))),"")</f>
        <v/>
      </c>
      <c r="F24" s="40"/>
      <c r="G24" s="19"/>
      <c r="H24" s="39" t="str">
        <f t="array" aca="1" ref="H24" ca="1">IF(ROWS(H$3:H24)&lt;=$I$2,INDEX(INDIRECT(H$2),SMALL(IF(V._FB=$K$2,ROW(V._FB)-ROW(Clasificacion!$N$5)+1),ROWS(H$3:H24))),"")</f>
        <v/>
      </c>
      <c r="I24" s="40"/>
    </row>
    <row r="25" spans="2:9" ht="27.95" customHeight="1" x14ac:dyDescent="0.25">
      <c r="B25" s="39" t="str">
        <f t="array" aca="1" ref="B25" ca="1">IF(ROWS(B$3:B25)&lt;=$C$2,INDEX(INDIRECT(B$2),SMALL(IF(V._FT=$K$2,ROW(V._FT)-ROW(Clasificacion!$H$5)+1),ROWS(B$3:B25))),"")</f>
        <v/>
      </c>
      <c r="C25" s="40"/>
      <c r="D25" s="19"/>
      <c r="E25" s="39" t="str">
        <f t="array" aca="1" ref="E25" ca="1">IF(ROWS(E$3:E25)&lt;=$F$2,INDEX(INDIRECT(E$2),SMALL(IF(V._M=$K$2,ROW(V._M)-ROW(Clasificacion!$M$5)+1),ROWS(E$3:E25))),"")</f>
        <v/>
      </c>
      <c r="F25" s="40"/>
      <c r="G25" s="19"/>
      <c r="H25" s="39" t="str">
        <f t="array" aca="1" ref="H25" ca="1">IF(ROWS(H$3:H25)&lt;=$I$2,INDEX(INDIRECT(H$2),SMALL(IF(V._FB=$K$2,ROW(V._FB)-ROW(Clasificacion!$N$5)+1),ROWS(H$3:H25))),"")</f>
        <v/>
      </c>
      <c r="I25" s="40"/>
    </row>
    <row r="26" spans="2:9" ht="27.95" customHeight="1" x14ac:dyDescent="0.25">
      <c r="B26" s="39" t="str">
        <f t="array" aca="1" ref="B26" ca="1">IF(ROWS(B$3:B26)&lt;=$C$2,INDEX(INDIRECT(B$2),SMALL(IF(V._FT=$K$2,ROW(V._FT)-ROW(Clasificacion!$H$5)+1),ROWS(B$3:B26))),"")</f>
        <v/>
      </c>
      <c r="C26" s="40"/>
      <c r="D26" s="19"/>
      <c r="E26" s="39" t="str">
        <f t="array" aca="1" ref="E26" ca="1">IF(ROWS(E$3:E26)&lt;=$F$2,INDEX(INDIRECT(E$2),SMALL(IF(V._M=$K$2,ROW(V._M)-ROW(Clasificacion!$M$5)+1),ROWS(E$3:E26))),"")</f>
        <v/>
      </c>
      <c r="F26" s="40"/>
      <c r="G26" s="19"/>
      <c r="H26" s="39" t="str">
        <f t="array" aca="1" ref="H26" ca="1">IF(ROWS(H$3:H26)&lt;=$I$2,INDEX(INDIRECT(H$2),SMALL(IF(V._FB=$K$2,ROW(V._FB)-ROW(Clasificacion!$N$5)+1),ROWS(H$3:H26))),"")</f>
        <v/>
      </c>
      <c r="I26" s="40"/>
    </row>
    <row r="27" spans="2:9" ht="29.1" customHeight="1" x14ac:dyDescent="0.25">
      <c r="B27" s="39" t="str">
        <f t="array" aca="1" ref="B27" ca="1">IF(ROWS(B$3:B27)&lt;=$C$2,INDEX(INDIRECT(B$2),SMALL(IF(V._FT=$K$2,ROW(V._FT)-ROW(Clasificacion!$H$5)+1),ROWS(B$3:B27))),"")</f>
        <v/>
      </c>
      <c r="C27" s="40"/>
      <c r="D27" s="19"/>
      <c r="E27" s="39" t="str">
        <f t="array" aca="1" ref="E27" ca="1">IF(ROWS(E$3:E27)&lt;=$F$2,INDEX(INDIRECT(E$2),SMALL(IF(V._M=$K$2,ROW(V._M)-ROW(Clasificacion!$M$5)+1),ROWS(E$3:E27))),"")</f>
        <v/>
      </c>
      <c r="F27" s="40"/>
      <c r="G27" s="19"/>
      <c r="H27" s="39" t="str">
        <f t="array" aca="1" ref="H27" ca="1">IF(ROWS(H$3:H27)&lt;=$I$2,INDEX(INDIRECT(H$2),SMALL(IF(V._FB=$K$2,ROW(V._FB)-ROW(Clasificacion!$N$5)+1),ROWS(H$3:H27))),"")</f>
        <v/>
      </c>
      <c r="I27" s="40"/>
    </row>
    <row r="28" spans="2:9" ht="26.45" customHeight="1" x14ac:dyDescent="0.25">
      <c r="B28" s="39" t="str">
        <f t="array" aca="1" ref="B28" ca="1">IF(ROWS(B$3:B28)&lt;=$C$2,INDEX(INDIRECT(B$2),SMALL(IF(V._FT=$K$2,ROW(V._FT)-ROW(Clasificacion!$H$5)+1),ROWS(B$3:B28))),"")</f>
        <v/>
      </c>
      <c r="C28" s="40"/>
      <c r="D28" s="19"/>
      <c r="E28" s="39" t="str">
        <f t="array" aca="1" ref="E28" ca="1">IF(ROWS(E$3:E28)&lt;=$F$2,INDEX(INDIRECT(E$2),SMALL(IF(V._M=$K$2,ROW(V._M)-ROW(Clasificacion!$M$5)+1),ROWS(E$3:E28))),"")</f>
        <v/>
      </c>
      <c r="F28" s="40"/>
      <c r="G28" s="19"/>
      <c r="H28" s="39" t="str">
        <f t="array" aca="1" ref="H28" ca="1">IF(ROWS(H$3:H28)&lt;=$I$2,INDEX(INDIRECT(H$2),SMALL(IF(V._FB=$K$2,ROW(V._FB)-ROW(Clasificacion!$N$5)+1),ROWS(H$3:H28))),"")</f>
        <v/>
      </c>
      <c r="I28" s="40"/>
    </row>
    <row r="29" spans="2:9" x14ac:dyDescent="0.25">
      <c r="B29" s="39" t="str">
        <f t="array" aca="1" ref="B29" ca="1">IF(ROWS(B$3:B29)&lt;=$C$2,INDEX(INDIRECT(B$2),SMALL(IF(V._FT=$K$2,ROW(V._FT)-ROW(Clasificacion!$H$5)+1),ROWS(B$3:B29))),"")</f>
        <v/>
      </c>
      <c r="C29" s="40"/>
      <c r="D29" s="19"/>
      <c r="E29" s="39" t="str">
        <f t="array" aca="1" ref="E29" ca="1">IF(ROWS(E$3:E29)&lt;=$F$2,INDEX(INDIRECT(E$2),SMALL(IF(V._M=$K$2,ROW(V._M)-ROW(Clasificacion!$M$5)+1),ROWS(E$3:E29))),"")</f>
        <v/>
      </c>
      <c r="F29" s="40"/>
      <c r="G29" s="19"/>
      <c r="H29" s="39" t="str">
        <f t="array" aca="1" ref="H29" ca="1">IF(ROWS(H$3:H29)&lt;=$I$2,INDEX(INDIRECT(H$2),SMALL(IF(V._FB=$K$2,ROW(V._FB)-ROW(Clasificacion!$N$5)+1),ROWS(H$3:H29))),"")</f>
        <v/>
      </c>
      <c r="I29" s="40"/>
    </row>
    <row r="30" spans="2:9" ht="27.6" customHeight="1" x14ac:dyDescent="0.25">
      <c r="B30" s="39" t="str">
        <f t="array" aca="1" ref="B30" ca="1">IF(ROWS(B$3:B30)&lt;=$C$2,INDEX(INDIRECT(B$2),SMALL(IF(V._FT=$K$2,ROW(V._FT)-ROW(Clasificacion!$H$5)+1),ROWS(B$3:B30))),"")</f>
        <v/>
      </c>
      <c r="C30" s="40"/>
      <c r="D30" s="19"/>
      <c r="E30" s="39" t="str">
        <f t="array" aca="1" ref="E30" ca="1">IF(ROWS(E$3:E30)&lt;=$F$2,INDEX(INDIRECT(E$2),SMALL(IF(V._M=$K$2,ROW(V._M)-ROW(Clasificacion!$M$5)+1),ROWS(E$3:E30))),"")</f>
        <v/>
      </c>
      <c r="F30" s="40"/>
      <c r="G30" s="19"/>
      <c r="H30" s="39" t="str">
        <f t="array" aca="1" ref="H30" ca="1">IF(ROWS(H$3:H30)&lt;=$I$2,INDEX(INDIRECT(H$2),SMALL(IF(V._FB=$K$2,ROW(V._FB)-ROW(Clasificacion!$N$5)+1),ROWS(H$3:H30))),"")</f>
        <v/>
      </c>
      <c r="I30" s="40"/>
    </row>
    <row r="31" spans="2:9" ht="27.6" customHeight="1" x14ac:dyDescent="0.25">
      <c r="B31" s="39" t="str">
        <f t="array" aca="1" ref="B31" ca="1">IF(ROWS(B$3:B31)&lt;=$C$2,INDEX(INDIRECT(B$2),SMALL(IF(V._FT=$K$2,ROW(V._FT)-ROW(Clasificacion!$H$5)+1),ROWS(B$3:B31))),"")</f>
        <v/>
      </c>
      <c r="C31" s="40"/>
      <c r="D31" s="19"/>
      <c r="E31" s="39" t="str">
        <f t="array" aca="1" ref="E31" ca="1">IF(ROWS(E$3:E31)&lt;=$F$2,INDEX(INDIRECT(E$2),SMALL(IF(V._M=$K$2,ROW(V._M)-ROW(Clasificacion!$M$5)+1),ROWS(E$3:E31))),"")</f>
        <v/>
      </c>
      <c r="F31" s="40"/>
      <c r="G31" s="19"/>
      <c r="H31" s="39" t="str">
        <f t="array" aca="1" ref="H31" ca="1">IF(ROWS(H$3:H31)&lt;=$I$2,INDEX(INDIRECT(H$2),SMALL(IF(V._FB=$K$2,ROW(V._FB)-ROW(Clasificacion!$N$5)+1),ROWS(H$3:H31))),"")</f>
        <v/>
      </c>
      <c r="I31" s="40"/>
    </row>
    <row r="32" spans="2:9" ht="26.1" customHeight="1" x14ac:dyDescent="0.25">
      <c r="B32" s="39" t="str">
        <f t="array" aca="1" ref="B32" ca="1">IF(ROWS(B$3:B32)&lt;=$C$2,INDEX(INDIRECT(B$2),SMALL(IF(V._FT=$K$2,ROW(V._FT)-ROW(Clasificacion!$H$5)+1),ROWS(B$3:B32))),"")</f>
        <v/>
      </c>
      <c r="C32" s="40"/>
      <c r="D32" s="19"/>
      <c r="E32" s="39" t="str">
        <f t="array" aca="1" ref="E32" ca="1">IF(ROWS(E$3:E32)&lt;=$F$2,INDEX(INDIRECT(E$2),SMALL(IF(V._M=$K$2,ROW(V._M)-ROW(Clasificacion!$M$5)+1),ROWS(E$3:E32))),"")</f>
        <v/>
      </c>
      <c r="F32" s="40"/>
      <c r="G32" s="19"/>
      <c r="H32" s="39" t="str">
        <f t="array" aca="1" ref="H32" ca="1">IF(ROWS(H$3:H32)&lt;=$I$2,INDEX(INDIRECT(H$2),SMALL(IF(V._FB=$K$2,ROW(V._FB)-ROW(Clasificacion!$N$5)+1),ROWS(H$3:H32))),"")</f>
        <v/>
      </c>
      <c r="I32" s="40"/>
    </row>
    <row r="33" spans="2:9" x14ac:dyDescent="0.25">
      <c r="B33" s="39" t="str">
        <f t="array" aca="1" ref="B33" ca="1">IF(ROWS(B$3:B33)&lt;=$C$2,INDEX(INDIRECT(B$2),SMALL(IF(V._FT=$K$2,ROW(V._FT)-ROW(Clasificacion!$H$5)+1),ROWS(B$3:B33))),"")</f>
        <v/>
      </c>
      <c r="C33" s="40"/>
      <c r="D33" s="19"/>
      <c r="E33" s="39" t="str">
        <f t="array" aca="1" ref="E33" ca="1">IF(ROWS(E$3:E33)&lt;=$F$2,INDEX(INDIRECT(E$2),SMALL(IF(V._M=$K$2,ROW(V._M)-ROW(Clasificacion!$M$5)+1),ROWS(E$3:E33))),"")</f>
        <v/>
      </c>
      <c r="F33" s="40"/>
      <c r="G33" s="19"/>
      <c r="H33" s="39" t="str">
        <f t="array" aca="1" ref="H33" ca="1">IF(ROWS(H$3:H33)&lt;=$I$2,INDEX(INDIRECT(H$2),SMALL(IF(V._FB=$K$2,ROW(V._FB)-ROW(Clasificacion!$N$5)+1),ROWS(H$3:H33))),"")</f>
        <v/>
      </c>
      <c r="I33" s="40"/>
    </row>
    <row r="34" spans="2:9" x14ac:dyDescent="0.25">
      <c r="B34" s="39" t="str">
        <f t="array" aca="1" ref="B34" ca="1">IF(ROWS(B$3:B34)&lt;=$C$2,INDEX(INDIRECT(B$2),SMALL(IF(V._FT=$K$2,ROW(V._FT)-ROW(Clasificacion!$H$5)+1),ROWS(B$3:B34))),"")</f>
        <v/>
      </c>
      <c r="C34" s="40"/>
      <c r="D34" s="19"/>
      <c r="E34" s="39" t="str">
        <f t="array" aca="1" ref="E34" ca="1">IF(ROWS(E$3:E34)&lt;=$F$2,INDEX(INDIRECT(E$2),SMALL(IF(V._M=$K$2,ROW(V._M)-ROW(Clasificacion!$M$5)+1),ROWS(E$3:E34))),"")</f>
        <v/>
      </c>
      <c r="F34" s="40"/>
      <c r="G34" s="19"/>
      <c r="H34" s="39" t="str">
        <f t="array" aca="1" ref="H34" ca="1">IF(ROWS(H$3:H34)&lt;=$I$2,INDEX(INDIRECT(H$2),SMALL(IF(V._FB=$K$2,ROW(V._FB)-ROW(Clasificacion!$N$5)+1),ROWS(H$3:H34))),"")</f>
        <v/>
      </c>
      <c r="I34" s="40"/>
    </row>
    <row r="35" spans="2:9" x14ac:dyDescent="0.25">
      <c r="B35" s="39" t="str">
        <f t="array" aca="1" ref="B35" ca="1">IF(ROWS(B$3:B35)&lt;=$C$2,INDEX(INDIRECT(B$2),SMALL(IF(V._FT=$K$2,ROW(V._FT)-ROW(Clasificacion!$H$5)+1),ROWS(B$3:B35))),"")</f>
        <v/>
      </c>
      <c r="C35" s="40"/>
      <c r="D35" s="19"/>
      <c r="E35" s="39" t="str">
        <f t="array" aca="1" ref="E35" ca="1">IF(ROWS(E$3:E35)&lt;=$F$2,INDEX(INDIRECT(E$2),SMALL(IF(V._M=$K$2,ROW(V._M)-ROW(Clasificacion!$M$5)+1),ROWS(E$3:E35))),"")</f>
        <v/>
      </c>
      <c r="F35" s="40"/>
      <c r="G35" s="19"/>
      <c r="H35" s="39" t="str">
        <f t="array" aca="1" ref="H35" ca="1">IF(ROWS(H$3:H35)&lt;=$I$2,INDEX(INDIRECT(H$2),SMALL(IF(V._FB=$K$2,ROW(V._FB)-ROW(Clasificacion!$N$5)+1),ROWS(H$3:H35))),"")</f>
        <v/>
      </c>
      <c r="I35" s="40"/>
    </row>
    <row r="36" spans="2:9" x14ac:dyDescent="0.25">
      <c r="B36" s="39" t="str">
        <f t="array" aca="1" ref="B36" ca="1">IF(ROWS(B$3:B36)&lt;=$C$2,INDEX(INDIRECT(B$2),SMALL(IF(V._FT=$K$2,ROW(V._FT)-ROW(Clasificacion!$H$5)+1),ROWS(B$3:B36))),"")</f>
        <v/>
      </c>
      <c r="C36" s="40"/>
      <c r="D36" s="19"/>
      <c r="E36" s="39" t="str">
        <f t="array" aca="1" ref="E36" ca="1">IF(ROWS(E$3:E36)&lt;=$F$2,INDEX(INDIRECT(E$2),SMALL(IF(V._M=$K$2,ROW(V._M)-ROW(Clasificacion!$M$5)+1),ROWS(E$3:E36))),"")</f>
        <v/>
      </c>
      <c r="F36" s="40"/>
      <c r="G36" s="19"/>
      <c r="H36" s="39" t="str">
        <f t="array" aca="1" ref="H36" ca="1">IF(ROWS(H$3:H36)&lt;=$I$2,INDEX(INDIRECT(H$2),SMALL(IF(V._FB=$K$2,ROW(V._FB)-ROW(Clasificacion!$N$5)+1),ROWS(H$3:H36))),"")</f>
        <v/>
      </c>
      <c r="I36" s="40"/>
    </row>
    <row r="37" spans="2:9" x14ac:dyDescent="0.25">
      <c r="B37" s="39" t="str">
        <f t="array" aca="1" ref="B37" ca="1">IF(ROWS(B$3:B37)&lt;=$C$2,INDEX(INDIRECT(B$2),SMALL(IF(V._FT=$K$2,ROW(V._FT)-ROW(Clasificacion!$H$5)+1),ROWS(B$3:B37))),"")</f>
        <v/>
      </c>
      <c r="C37" s="40"/>
      <c r="D37" s="19"/>
      <c r="E37" s="39" t="str">
        <f t="array" aca="1" ref="E37" ca="1">IF(ROWS(E$3:E37)&lt;=$F$2,INDEX(INDIRECT(E$2),SMALL(IF(V._M=$K$2,ROW(V._M)-ROW(Clasificacion!$M$5)+1),ROWS(E$3:E37))),"")</f>
        <v/>
      </c>
      <c r="F37" s="40"/>
      <c r="G37" s="19"/>
      <c r="H37" s="39" t="str">
        <f t="array" aca="1" ref="H37" ca="1">IF(ROWS(H$3:H37)&lt;=$I$2,INDEX(INDIRECT(H$2),SMALL(IF(V._FB=$K$2,ROW(V._FB)-ROW(Clasificacion!$N$5)+1),ROWS(H$3:H37))),"")</f>
        <v/>
      </c>
      <c r="I37" s="40"/>
    </row>
    <row r="38" spans="2:9" x14ac:dyDescent="0.25">
      <c r="B38" s="39" t="str">
        <f t="array" aca="1" ref="B38" ca="1">IF(ROWS(B$3:B38)&lt;=$C$2,INDEX(INDIRECT(B$2),SMALL(IF(V._FT=$K$2,ROW(V._FT)-ROW(Clasificacion!$H$5)+1),ROWS(B$3:B38))),"")</f>
        <v/>
      </c>
      <c r="C38" s="40"/>
      <c r="D38" s="19"/>
      <c r="E38" s="39" t="str">
        <f t="array" aca="1" ref="E38" ca="1">IF(ROWS(E$3:E38)&lt;=$F$2,INDEX(INDIRECT(E$2),SMALL(IF(V._M=$K$2,ROW(V._M)-ROW(Clasificacion!$M$5)+1),ROWS(E$3:E38))),"")</f>
        <v/>
      </c>
      <c r="F38" s="40"/>
      <c r="G38" s="19"/>
      <c r="H38" s="39" t="str">
        <f t="array" aca="1" ref="H38" ca="1">IF(ROWS(H$3:H38)&lt;=$I$2,INDEX(INDIRECT(H$2),SMALL(IF(V._FB=$K$2,ROW(V._FB)-ROW(Clasificacion!$N$5)+1),ROWS(H$3:H38))),"")</f>
        <v/>
      </c>
      <c r="I38" s="40"/>
    </row>
    <row r="39" spans="2:9" x14ac:dyDescent="0.25">
      <c r="B39" s="39" t="str">
        <f t="array" aca="1" ref="B39" ca="1">IF(ROWS(B$3:B39)&lt;=$C$2,INDEX(INDIRECT(B$2),SMALL(IF(V._FT=$K$2,ROW(V._FT)-ROW(Clasificacion!$H$5)+1),ROWS(B$3:B39))),"")</f>
        <v/>
      </c>
      <c r="C39" s="40"/>
      <c r="D39" s="19"/>
      <c r="E39" s="39" t="str">
        <f t="array" aca="1" ref="E39" ca="1">IF(ROWS(E$3:E39)&lt;=$F$2,INDEX(INDIRECT(E$2),SMALL(IF(V._M=$K$2,ROW(V._M)-ROW(Clasificacion!$M$5)+1),ROWS(E$3:E39))),"")</f>
        <v/>
      </c>
      <c r="F39" s="40"/>
      <c r="G39" s="19"/>
      <c r="H39" s="39" t="str">
        <f t="array" aca="1" ref="H39" ca="1">IF(ROWS(H$3:H39)&lt;=$I$2,INDEX(INDIRECT(H$2),SMALL(IF(V._FB=$K$2,ROW(V._FB)-ROW(Clasificacion!$N$5)+1),ROWS(H$3:H39))),"")</f>
        <v/>
      </c>
      <c r="I39" s="40"/>
    </row>
    <row r="40" spans="2:9" x14ac:dyDescent="0.25">
      <c r="B40" s="39" t="str">
        <f t="array" aca="1" ref="B40" ca="1">IF(ROWS(B$3:B40)&lt;=$C$2,INDEX(INDIRECT(B$2),SMALL(IF(V._FT=$K$2,ROW(V._FT)-ROW(Clasificacion!$H$5)+1),ROWS(B$3:B40))),"")</f>
        <v/>
      </c>
      <c r="C40" s="40"/>
      <c r="D40" s="19"/>
      <c r="E40" s="39" t="str">
        <f t="array" aca="1" ref="E40" ca="1">IF(ROWS(E$3:E40)&lt;=$F$2,INDEX(INDIRECT(E$2),SMALL(IF(V._M=$K$2,ROW(V._M)-ROW(Clasificacion!$M$5)+1),ROWS(E$3:E40))),"")</f>
        <v/>
      </c>
      <c r="F40" s="40"/>
      <c r="G40" s="19"/>
      <c r="H40" s="39" t="str">
        <f t="array" aca="1" ref="H40" ca="1">IF(ROWS(H$3:H40)&lt;=$I$2,INDEX(INDIRECT(H$2),SMALL(IF(V._FB=$K$2,ROW(V._FB)-ROW(Clasificacion!$N$5)+1),ROWS(H$3:H40))),"")</f>
        <v/>
      </c>
      <c r="I40" s="40"/>
    </row>
    <row r="41" spans="2:9" x14ac:dyDescent="0.25">
      <c r="B41" s="39" t="str">
        <f t="array" aca="1" ref="B41" ca="1">IF(ROWS(B$3:B41)&lt;=$C$2,INDEX(INDIRECT(B$2),SMALL(IF(V._FT=$K$2,ROW(V._FT)-ROW(Clasificacion!$H$5)+1),ROWS(B$3:B41))),"")</f>
        <v/>
      </c>
      <c r="C41" s="40"/>
      <c r="D41" s="19"/>
      <c r="E41" s="39" t="str">
        <f t="array" aca="1" ref="E41" ca="1">IF(ROWS(E$3:E41)&lt;=$F$2,INDEX(INDIRECT(E$2),SMALL(IF(V._M=$K$2,ROW(V._M)-ROW(Clasificacion!$M$5)+1),ROWS(E$3:E41))),"")</f>
        <v/>
      </c>
      <c r="F41" s="40"/>
      <c r="G41" s="19"/>
      <c r="H41" s="39" t="str">
        <f t="array" aca="1" ref="H41" ca="1">IF(ROWS(H$3:H41)&lt;=$I$2,INDEX(INDIRECT(H$2),SMALL(IF(V._FB=$K$2,ROW(V._FB)-ROW(Clasificacion!$N$5)+1),ROWS(H$3:H41))),"")</f>
        <v/>
      </c>
      <c r="I41" s="40"/>
    </row>
    <row r="42" spans="2:9" x14ac:dyDescent="0.25">
      <c r="B42" s="39" t="str">
        <f t="array" aca="1" ref="B42" ca="1">IF(ROWS(B$3:B42)&lt;=$C$2,INDEX(INDIRECT(B$2),SMALL(IF(V._FT=$K$2,ROW(V._FT)-ROW(Clasificacion!$H$5)+1),ROWS(B$3:B42))),"")</f>
        <v/>
      </c>
      <c r="C42" s="40"/>
      <c r="D42" s="19"/>
      <c r="E42" s="39" t="str">
        <f t="array" aca="1" ref="E42" ca="1">IF(ROWS(E$3:E42)&lt;=$F$2,INDEX(INDIRECT(E$2),SMALL(IF(V._M=$K$2,ROW(V._M)-ROW(Clasificacion!$M$5)+1),ROWS(E$3:E42))),"")</f>
        <v/>
      </c>
      <c r="F42" s="40"/>
      <c r="G42" s="19"/>
      <c r="H42" s="39" t="str">
        <f t="array" aca="1" ref="H42" ca="1">IF(ROWS(H$3:H42)&lt;=$I$2,INDEX(INDIRECT(H$2),SMALL(IF(V._FB=$K$2,ROW(V._FB)-ROW(Clasificacion!$N$5)+1),ROWS(H$3:H42))),"")</f>
        <v/>
      </c>
      <c r="I42" s="40"/>
    </row>
    <row r="43" spans="2:9" x14ac:dyDescent="0.25">
      <c r="B43" s="39" t="str">
        <f t="array" aca="1" ref="B43" ca="1">IF(ROWS(B$3:B43)&lt;=$C$2,INDEX(INDIRECT(B$2),SMALL(IF(V._FT=$K$2,ROW(V._FT)-ROW(Clasificacion!$H$5)+1),ROWS(B$3:B43))),"")</f>
        <v/>
      </c>
      <c r="C43" s="40"/>
      <c r="D43" s="19"/>
      <c r="E43" s="39" t="str">
        <f t="array" aca="1" ref="E43" ca="1">IF(ROWS(E$3:E43)&lt;=$F$2,INDEX(INDIRECT(E$2),SMALL(IF(V._M=$K$2,ROW(V._M)-ROW(Clasificacion!$M$5)+1),ROWS(E$3:E43))),"")</f>
        <v/>
      </c>
      <c r="F43" s="40"/>
      <c r="G43" s="19"/>
      <c r="H43" s="39" t="str">
        <f t="array" aca="1" ref="H43" ca="1">IF(ROWS(H$3:H43)&lt;=$I$2,INDEX(INDIRECT(H$2),SMALL(IF(V._FB=$K$2,ROW(V._FB)-ROW(Clasificacion!$N$5)+1),ROWS(H$3:H43))),"")</f>
        <v/>
      </c>
      <c r="I43" s="40"/>
    </row>
    <row r="44" spans="2:9" x14ac:dyDescent="0.25">
      <c r="B44" s="39" t="str">
        <f t="array" aca="1" ref="B44" ca="1">IF(ROWS(B$3:B44)&lt;=$C$2,INDEX(INDIRECT(B$2),SMALL(IF(V._FT=$K$2,ROW(V._FT)-ROW(Clasificacion!$H$5)+1),ROWS(B$3:B44))),"")</f>
        <v/>
      </c>
      <c r="C44" s="40"/>
      <c r="D44" s="19"/>
      <c r="E44" s="39" t="str">
        <f t="array" aca="1" ref="E44" ca="1">IF(ROWS(E$3:E44)&lt;=$F$2,INDEX(INDIRECT(E$2),SMALL(IF(V._M=$K$2,ROW(V._M)-ROW(Clasificacion!$M$5)+1),ROWS(E$3:E44))),"")</f>
        <v/>
      </c>
      <c r="F44" s="40"/>
      <c r="G44" s="19"/>
      <c r="H44" s="39" t="str">
        <f t="array" aca="1" ref="H44" ca="1">IF(ROWS(H$3:H44)&lt;=$I$2,INDEX(INDIRECT(H$2),SMALL(IF(V._FB=$K$2,ROW(V._FB)-ROW(Clasificacion!$N$5)+1),ROWS(H$3:H44))),"")</f>
        <v/>
      </c>
      <c r="I44" s="40"/>
    </row>
    <row r="45" spans="2:9" x14ac:dyDescent="0.25">
      <c r="B45" s="39" t="str">
        <f t="array" aca="1" ref="B45" ca="1">IF(ROWS(B$3:B45)&lt;=$C$2,INDEX(INDIRECT(B$2),SMALL(IF(V._FT=$K$2,ROW(V._FT)-ROW(Clasificacion!$H$5)+1),ROWS(B$3:B45))),"")</f>
        <v/>
      </c>
      <c r="C45" s="40"/>
      <c r="D45" s="19"/>
      <c r="E45" s="39" t="str">
        <f t="array" aca="1" ref="E45" ca="1">IF(ROWS(E$3:E45)&lt;=$F$2,INDEX(INDIRECT(E$2),SMALL(IF(V._M=$K$2,ROW(V._M)-ROW(Clasificacion!$M$5)+1),ROWS(E$3:E45))),"")</f>
        <v/>
      </c>
      <c r="F45" s="40"/>
      <c r="G45" s="19"/>
      <c r="H45" s="39" t="str">
        <f t="array" aca="1" ref="H45" ca="1">IF(ROWS(H$3:H45)&lt;=$I$2,INDEX(INDIRECT(H$2),SMALL(IF(V._FB=$K$2,ROW(V._FB)-ROW(Clasificacion!$N$5)+1),ROWS(H$3:H45))),"")</f>
        <v/>
      </c>
      <c r="I45" s="40"/>
    </row>
    <row r="46" spans="2:9" x14ac:dyDescent="0.25">
      <c r="B46" s="39" t="str">
        <f t="array" aca="1" ref="B46" ca="1">IF(ROWS(B$3:B46)&lt;=$C$2,INDEX(INDIRECT(B$2),SMALL(IF(V._FT=$K$2,ROW(V._FT)-ROW(Clasificacion!$H$5)+1),ROWS(B$3:B46))),"")</f>
        <v/>
      </c>
      <c r="C46" s="40"/>
      <c r="D46" s="19"/>
      <c r="E46" s="39" t="str">
        <f t="array" aca="1" ref="E46" ca="1">IF(ROWS(E$3:E46)&lt;=$F$2,INDEX(INDIRECT(E$2),SMALL(IF(V._M=$K$2,ROW(V._M)-ROW(Clasificacion!$M$5)+1),ROWS(E$3:E46))),"")</f>
        <v/>
      </c>
      <c r="F46" s="40"/>
      <c r="G46" s="19"/>
      <c r="H46" s="39" t="str">
        <f t="array" aca="1" ref="H46" ca="1">IF(ROWS(H$3:H46)&lt;=$I$2,INDEX(INDIRECT(H$2),SMALL(IF(V._FB=$K$2,ROW(V._FB)-ROW(Clasificacion!$N$5)+1),ROWS(H$3:H46))),"")</f>
        <v/>
      </c>
      <c r="I46" s="40"/>
    </row>
    <row r="47" spans="2:9" x14ac:dyDescent="0.25">
      <c r="B47" s="39" t="str">
        <f t="array" aca="1" ref="B47" ca="1">IF(ROWS(B$3:B47)&lt;=$C$2,INDEX(INDIRECT(B$2),SMALL(IF(V._FT=$K$2,ROW(V._FT)-ROW(Clasificacion!$H$5)+1),ROWS(B$3:B47))),"")</f>
        <v/>
      </c>
      <c r="C47" s="40"/>
      <c r="D47" s="19"/>
      <c r="E47" s="39" t="str">
        <f t="array" aca="1" ref="E47" ca="1">IF(ROWS(E$3:E47)&lt;=$F$2,INDEX(INDIRECT(E$2),SMALL(IF(V._M=$K$2,ROW(V._M)-ROW(Clasificacion!$M$5)+1),ROWS(E$3:E47))),"")</f>
        <v/>
      </c>
      <c r="F47" s="40"/>
      <c r="G47" s="19"/>
      <c r="H47" s="39" t="str">
        <f t="array" aca="1" ref="H47" ca="1">IF(ROWS(H$3:H47)&lt;=$I$2,INDEX(INDIRECT(H$2),SMALL(IF(V._FB=$K$2,ROW(V._FB)-ROW(Clasificacion!$N$5)+1),ROWS(H$3:H47))),"")</f>
        <v/>
      </c>
      <c r="I47" s="40"/>
    </row>
    <row r="48" spans="2:9" x14ac:dyDescent="0.25">
      <c r="B48" s="39" t="str">
        <f t="array" aca="1" ref="B48" ca="1">IF(ROWS(B$3:B48)&lt;=$C$2,INDEX(INDIRECT(B$2),SMALL(IF(V._FT=$K$2,ROW(V._FT)-ROW(Clasificacion!$H$5)+1),ROWS(B$3:B48))),"")</f>
        <v/>
      </c>
      <c r="C48" s="40"/>
      <c r="D48" s="19"/>
      <c r="E48" s="39" t="str">
        <f t="array" aca="1" ref="E48" ca="1">IF(ROWS(E$3:E48)&lt;=$F$2,INDEX(INDIRECT(E$2),SMALL(IF(V._M=$K$2,ROW(V._M)-ROW(Clasificacion!$M$5)+1),ROWS(E$3:E48))),"")</f>
        <v/>
      </c>
      <c r="F48" s="40"/>
      <c r="G48" s="19"/>
      <c r="H48" s="39" t="str">
        <f t="array" aca="1" ref="H48" ca="1">IF(ROWS(H$3:H48)&lt;=$I$2,INDEX(INDIRECT(H$2),SMALL(IF(V._FB=$K$2,ROW(V._FB)-ROW(Clasificacion!$N$5)+1),ROWS(H$3:H48))),"")</f>
        <v/>
      </c>
      <c r="I48" s="40"/>
    </row>
    <row r="49" spans="2:9" x14ac:dyDescent="0.25">
      <c r="B49" s="39" t="str">
        <f t="array" aca="1" ref="B49" ca="1">IF(ROWS(B$3:B49)&lt;=$C$2,INDEX(INDIRECT(B$2),SMALL(IF(V._FT=$K$2,ROW(V._FT)-ROW(Clasificacion!$H$5)+1),ROWS(B$3:B49))),"")</f>
        <v/>
      </c>
      <c r="C49" s="40"/>
      <c r="D49" s="19"/>
      <c r="E49" s="39" t="str">
        <f t="array" aca="1" ref="E49" ca="1">IF(ROWS(E$3:E49)&lt;=$F$2,INDEX(INDIRECT(E$2),SMALL(IF(V._M=$K$2,ROW(V._M)-ROW(Clasificacion!$M$5)+1),ROWS(E$3:E49))),"")</f>
        <v/>
      </c>
      <c r="F49" s="40"/>
      <c r="G49" s="19"/>
      <c r="H49" s="39" t="str">
        <f t="array" aca="1" ref="H49" ca="1">IF(ROWS(H$3:H49)&lt;=$I$2,INDEX(INDIRECT(H$2),SMALL(IF(V._FB=$K$2,ROW(V._FB)-ROW(Clasificacion!$N$5)+1),ROWS(H$3:H49))),"")</f>
        <v/>
      </c>
      <c r="I49" s="40"/>
    </row>
    <row r="50" spans="2:9" x14ac:dyDescent="0.25">
      <c r="B50" s="39" t="str">
        <f t="array" aca="1" ref="B50" ca="1">IF(ROWS(B$3:B50)&lt;=$C$2,INDEX(INDIRECT(B$2),SMALL(IF(V._FT=$K$2,ROW(V._FT)-ROW(Clasificacion!$H$5)+1),ROWS(B$3:B50))),"")</f>
        <v/>
      </c>
      <c r="C50" s="40"/>
      <c r="D50" s="19"/>
      <c r="E50" s="39" t="str">
        <f t="array" aca="1" ref="E50" ca="1">IF(ROWS(E$3:E50)&lt;=$F$2,INDEX(INDIRECT(E$2),SMALL(IF(V._M=$K$2,ROW(V._M)-ROW(Clasificacion!$M$5)+1),ROWS(E$3:E50))),"")</f>
        <v/>
      </c>
      <c r="F50" s="40"/>
      <c r="G50" s="19"/>
      <c r="H50" s="39" t="str">
        <f t="array" aca="1" ref="H50" ca="1">IF(ROWS(H$3:H50)&lt;=$I$2,INDEX(INDIRECT(H$2),SMALL(IF(V._FB=$K$2,ROW(V._FB)-ROW(Clasificacion!$N$5)+1),ROWS(H$3:H50))),"")</f>
        <v/>
      </c>
      <c r="I50" s="40"/>
    </row>
    <row r="51" spans="2:9" x14ac:dyDescent="0.25">
      <c r="B51" s="39" t="str">
        <f t="array" aca="1" ref="B51" ca="1">IF(ROWS(B$3:B51)&lt;=$C$2,INDEX(INDIRECT(B$2),SMALL(IF(V._FT=$K$2,ROW(V._FT)-ROW(Clasificacion!$H$5)+1),ROWS(B$3:B51))),"")</f>
        <v/>
      </c>
      <c r="C51" s="40"/>
      <c r="D51" s="19"/>
      <c r="E51" s="39" t="str">
        <f t="array" aca="1" ref="E51" ca="1">IF(ROWS(E$3:E51)&lt;=$F$2,INDEX(INDIRECT(E$2),SMALL(IF(V._M=$K$2,ROW(V._M)-ROW(Clasificacion!$M$5)+1),ROWS(E$3:E51))),"")</f>
        <v/>
      </c>
      <c r="F51" s="40"/>
      <c r="G51" s="19"/>
      <c r="H51" s="39" t="str">
        <f t="array" aca="1" ref="H51" ca="1">IF(ROWS(H$3:H51)&lt;=$I$2,INDEX(INDIRECT(H$2),SMALL(IF(V._FB=$K$2,ROW(V._FB)-ROW(Clasificacion!$N$5)+1),ROWS(H$3:H51))),"")</f>
        <v/>
      </c>
      <c r="I51" s="40"/>
    </row>
    <row r="52" spans="2:9" x14ac:dyDescent="0.25">
      <c r="B52" s="39" t="str">
        <f t="array" aca="1" ref="B52" ca="1">IF(ROWS(B$3:B52)&lt;=$C$2,INDEX(INDIRECT(B$2),SMALL(IF(V._FT=$K$2,ROW(V._FT)-ROW(Clasificacion!$H$5)+1),ROWS(B$3:B52))),"")</f>
        <v/>
      </c>
      <c r="C52" s="40"/>
      <c r="D52" s="19"/>
      <c r="E52" s="39" t="str">
        <f t="array" aca="1" ref="E52" ca="1">IF(ROWS(E$3:E52)&lt;=$F$2,INDEX(INDIRECT(E$2),SMALL(IF(V._M=$K$2,ROW(V._M)-ROW(Clasificacion!$M$5)+1),ROWS(E$3:E52))),"")</f>
        <v/>
      </c>
      <c r="F52" s="40"/>
      <c r="G52" s="19"/>
      <c r="H52" s="39" t="str">
        <f t="array" aca="1" ref="H52" ca="1">IF(ROWS(H$3:H52)&lt;=$I$2,INDEX(INDIRECT(H$2),SMALL(IF(V._FB=$K$2,ROW(V._FB)-ROW(Clasificacion!$N$5)+1),ROWS(H$3:H52))),"")</f>
        <v/>
      </c>
      <c r="I52" s="40"/>
    </row>
    <row r="53" spans="2:9" x14ac:dyDescent="0.25">
      <c r="B53" s="39" t="str">
        <f t="array" aca="1" ref="B53" ca="1">IF(ROWS(B$3:B53)&lt;=$C$2,INDEX(INDIRECT(B$2),SMALL(IF(V._FT=$K$2,ROW(V._FT)-ROW(Clasificacion!$H$5)+1),ROWS(B$3:B53))),"")</f>
        <v/>
      </c>
      <c r="C53" s="40"/>
      <c r="D53" s="19"/>
      <c r="E53" s="39" t="str">
        <f t="array" aca="1" ref="E53" ca="1">IF(ROWS(E$3:E53)&lt;=$F$2,INDEX(INDIRECT(E$2),SMALL(IF(V._M=$K$2,ROW(V._M)-ROW(Clasificacion!$M$5)+1),ROWS(E$3:E53))),"")</f>
        <v/>
      </c>
      <c r="F53" s="40"/>
      <c r="G53" s="19"/>
      <c r="H53" s="39" t="str">
        <f t="array" aca="1" ref="H53" ca="1">IF(ROWS(H$3:H53)&lt;=$I$2,INDEX(INDIRECT(H$2),SMALL(IF(V._FB=$K$2,ROW(V._FB)-ROW(Clasificacion!$N$5)+1),ROWS(H$3:H53))),"")</f>
        <v/>
      </c>
      <c r="I53" s="40"/>
    </row>
    <row r="54" spans="2:9" x14ac:dyDescent="0.25">
      <c r="B54" s="39" t="str">
        <f t="array" aca="1" ref="B54" ca="1">IF(ROWS(B$3:B54)&lt;=$C$2,INDEX(INDIRECT(B$2),SMALL(IF(V._FT=$K$2,ROW(V._FT)-ROW(Clasificacion!$H$5)+1),ROWS(B$3:B54))),"")</f>
        <v/>
      </c>
      <c r="C54" s="40"/>
      <c r="D54" s="19"/>
      <c r="E54" s="39" t="str">
        <f t="array" aca="1" ref="E54" ca="1">IF(ROWS(E$3:E54)&lt;=$F$2,INDEX(INDIRECT(E$2),SMALL(IF(V._M=$K$2,ROW(V._M)-ROW(Clasificacion!$M$5)+1),ROWS(E$3:E54))),"")</f>
        <v/>
      </c>
      <c r="F54" s="40"/>
      <c r="G54" s="19"/>
      <c r="H54" s="39" t="str">
        <f t="array" aca="1" ref="H54" ca="1">IF(ROWS(H$3:H54)&lt;=$I$2,INDEX(INDIRECT(H$2),SMALL(IF(V._FB=$K$2,ROW(V._FB)-ROW(Clasificacion!$N$5)+1),ROWS(H$3:H54))),"")</f>
        <v/>
      </c>
      <c r="I54" s="40"/>
    </row>
    <row r="55" spans="2:9" x14ac:dyDescent="0.25">
      <c r="B55" s="39" t="str">
        <f t="array" aca="1" ref="B55" ca="1">IF(ROWS(B$3:B55)&lt;=$C$2,INDEX(INDIRECT(B$2),SMALL(IF(V._FT=$K$2,ROW(V._FT)-ROW(Clasificacion!$H$5)+1),ROWS(B$3:B55))),"")</f>
        <v/>
      </c>
      <c r="C55" s="40"/>
      <c r="D55" s="19"/>
      <c r="E55" s="39" t="str">
        <f t="array" aca="1" ref="E55" ca="1">IF(ROWS(E$3:E55)&lt;=$F$2,INDEX(INDIRECT(E$2),SMALL(IF(V._M=$K$2,ROW(V._M)-ROW(Clasificacion!$M$5)+1),ROWS(E$3:E55))),"")</f>
        <v/>
      </c>
      <c r="F55" s="40"/>
      <c r="G55" s="19"/>
      <c r="H55" s="39" t="str">
        <f t="array" aca="1" ref="H55" ca="1">IF(ROWS(H$3:H55)&lt;=$I$2,INDEX(INDIRECT(H$2),SMALL(IF(V._FB=$K$2,ROW(V._FB)-ROW(Clasificacion!$N$5)+1),ROWS(H$3:H55))),"")</f>
        <v/>
      </c>
      <c r="I55" s="40"/>
    </row>
    <row r="56" spans="2:9" x14ac:dyDescent="0.25">
      <c r="B56" s="39" t="str">
        <f t="array" aca="1" ref="B56" ca="1">IF(ROWS(B$3:B56)&lt;=$C$2,INDEX(INDIRECT(B$2),SMALL(IF(V._FT=$K$2,ROW(V._FT)-ROW(Clasificacion!$H$5)+1),ROWS(B$3:B56))),"")</f>
        <v/>
      </c>
      <c r="C56" s="40"/>
      <c r="D56" s="19"/>
      <c r="E56" s="39" t="str">
        <f t="array" aca="1" ref="E56" ca="1">IF(ROWS(E$3:E56)&lt;=$F$2,INDEX(INDIRECT(E$2),SMALL(IF(V._M=$K$2,ROW(V._M)-ROW(Clasificacion!$M$5)+1),ROWS(E$3:E56))),"")</f>
        <v/>
      </c>
      <c r="F56" s="40"/>
      <c r="G56" s="19"/>
      <c r="H56" s="39" t="str">
        <f t="array" aca="1" ref="H56" ca="1">IF(ROWS(H$3:H56)&lt;=$I$2,INDEX(INDIRECT(H$2),SMALL(IF(V._FB=$K$2,ROW(V._FB)-ROW(Clasificacion!$N$5)+1),ROWS(H$3:H56))),"")</f>
        <v/>
      </c>
      <c r="I56" s="40"/>
    </row>
    <row r="57" spans="2:9" x14ac:dyDescent="0.25">
      <c r="B57" s="39" t="str">
        <f t="array" aca="1" ref="B57" ca="1">IF(ROWS(B$3:B57)&lt;=$C$2,INDEX(INDIRECT(B$2),SMALL(IF(V._FT=$K$2,ROW(V._FT)-ROW(Clasificacion!$H$5)+1),ROWS(B$3:B57))),"")</f>
        <v/>
      </c>
      <c r="C57" s="40"/>
      <c r="D57" s="19"/>
      <c r="E57" s="39" t="str">
        <f t="array" aca="1" ref="E57" ca="1">IF(ROWS(E$3:E57)&lt;=$F$2,INDEX(INDIRECT(E$2),SMALL(IF(V._M=$K$2,ROW(V._M)-ROW(Clasificacion!$M$5)+1),ROWS(E$3:E57))),"")</f>
        <v/>
      </c>
      <c r="F57" s="40"/>
      <c r="G57" s="19"/>
      <c r="H57" s="39" t="str">
        <f t="array" aca="1" ref="H57" ca="1">IF(ROWS(H$3:H57)&lt;=$I$2,INDEX(INDIRECT(H$2),SMALL(IF(V._FB=$K$2,ROW(V._FB)-ROW(Clasificacion!$N$5)+1),ROWS(H$3:H57))),"")</f>
        <v/>
      </c>
      <c r="I57" s="40"/>
    </row>
    <row r="58" spans="2:9" x14ac:dyDescent="0.25">
      <c r="B58" s="39" t="str">
        <f t="array" aca="1" ref="B58" ca="1">IF(ROWS(B$3:B58)&lt;=$C$2,INDEX(INDIRECT(B$2),SMALL(IF(V._FT=$K$2,ROW(V._FT)-ROW(Clasificacion!$H$5)+1),ROWS(B$3:B58))),"")</f>
        <v/>
      </c>
      <c r="C58" s="40"/>
      <c r="D58" s="19"/>
      <c r="E58" s="39" t="str">
        <f t="array" aca="1" ref="E58" ca="1">IF(ROWS(E$3:E58)&lt;=$F$2,INDEX(INDIRECT(E$2),SMALL(IF(V._M=$K$2,ROW(V._M)-ROW(Clasificacion!$M$5)+1),ROWS(E$3:E58))),"")</f>
        <v/>
      </c>
      <c r="F58" s="40"/>
      <c r="G58" s="19"/>
      <c r="H58" s="39" t="str">
        <f t="array" aca="1" ref="H58" ca="1">IF(ROWS(H$3:H58)&lt;=$I$2,INDEX(INDIRECT(H$2),SMALL(IF(V._FB=$K$2,ROW(V._FB)-ROW(Clasificacion!$N$5)+1),ROWS(H$3:H58))),"")</f>
        <v/>
      </c>
      <c r="I58" s="40"/>
    </row>
    <row r="59" spans="2:9" x14ac:dyDescent="0.25">
      <c r="B59" s="39" t="str">
        <f t="array" aca="1" ref="B59" ca="1">IF(ROWS(B$3:B59)&lt;=$C$2,INDEX(INDIRECT(B$2),SMALL(IF(V._FT=$K$2,ROW(V._FT)-ROW(Clasificacion!$H$5)+1),ROWS(B$3:B59))),"")</f>
        <v/>
      </c>
      <c r="C59" s="40"/>
      <c r="D59" s="19"/>
      <c r="E59" s="39" t="str">
        <f t="array" aca="1" ref="E59" ca="1">IF(ROWS(E$3:E59)&lt;=$F$2,INDEX(INDIRECT(E$2),SMALL(IF(V._M=$K$2,ROW(V._M)-ROW(Clasificacion!$M$5)+1),ROWS(E$3:E59))),"")</f>
        <v/>
      </c>
      <c r="F59" s="40"/>
      <c r="G59" s="19"/>
      <c r="H59" s="39" t="str">
        <f t="array" aca="1" ref="H59" ca="1">IF(ROWS(H$3:H59)&lt;=$I$2,INDEX(INDIRECT(H$2),SMALL(IF(V._FB=$K$2,ROW(V._FB)-ROW(Clasificacion!$N$5)+1),ROWS(H$3:H59))),"")</f>
        <v/>
      </c>
      <c r="I59" s="40"/>
    </row>
    <row r="60" spans="2:9" x14ac:dyDescent="0.25">
      <c r="B60" s="39" t="str">
        <f t="array" aca="1" ref="B60" ca="1">IF(ROWS(B$3:B60)&lt;=$C$2,INDEX(INDIRECT(B$2),SMALL(IF(V._FT=$K$2,ROW(V._FT)-ROW(Clasificacion!$H$5)+1),ROWS(B$3:B60))),"")</f>
        <v/>
      </c>
      <c r="C60" s="40"/>
      <c r="D60" s="19"/>
      <c r="E60" s="39" t="str">
        <f t="array" aca="1" ref="E60" ca="1">IF(ROWS(E$3:E60)&lt;=$F$2,INDEX(INDIRECT(E$2),SMALL(IF(V._M=$K$2,ROW(V._M)-ROW(Clasificacion!$M$5)+1),ROWS(E$3:E60))),"")</f>
        <v/>
      </c>
      <c r="F60" s="40"/>
      <c r="G60" s="19"/>
      <c r="H60" s="39" t="str">
        <f t="array" aca="1" ref="H60" ca="1">IF(ROWS(H$3:H60)&lt;=$I$2,INDEX(INDIRECT(H$2),SMALL(IF(V._FB=$K$2,ROW(V._FB)-ROW(Clasificacion!$N$5)+1),ROWS(H$3:H60))),"")</f>
        <v/>
      </c>
      <c r="I60" s="40"/>
    </row>
    <row r="61" spans="2:9" x14ac:dyDescent="0.25">
      <c r="B61" s="39" t="str">
        <f t="array" aca="1" ref="B61" ca="1">IF(ROWS(B$3:B61)&lt;=$C$2,INDEX(INDIRECT(B$2),SMALL(IF(V._FT=$K$2,ROW(V._FT)-ROW(Clasificacion!$H$5)+1),ROWS(B$3:B61))),"")</f>
        <v/>
      </c>
      <c r="C61" s="40"/>
      <c r="D61" s="19"/>
      <c r="E61" s="39" t="str">
        <f t="array" aca="1" ref="E61" ca="1">IF(ROWS(E$3:E61)&lt;=$F$2,INDEX(INDIRECT(E$2),SMALL(IF(V._M=$K$2,ROW(V._M)-ROW(Clasificacion!$M$5)+1),ROWS(E$3:E61))),"")</f>
        <v/>
      </c>
      <c r="F61" s="40"/>
      <c r="G61" s="19"/>
      <c r="H61" s="39" t="str">
        <f t="array" aca="1" ref="H61" ca="1">IF(ROWS(H$3:H61)&lt;=$I$2,INDEX(INDIRECT(H$2),SMALL(IF(V._FB=$K$2,ROW(V._FB)-ROW(Clasificacion!$N$5)+1),ROWS(H$3:H61))),"")</f>
        <v/>
      </c>
      <c r="I61" s="40"/>
    </row>
    <row r="62" spans="2:9" x14ac:dyDescent="0.25">
      <c r="B62" s="39" t="str">
        <f t="array" aca="1" ref="B62" ca="1">IF(ROWS(B$3:B62)&lt;=$C$2,INDEX(INDIRECT(B$2),SMALL(IF(V._FT=$K$2,ROW(V._FT)-ROW(Clasificacion!$H$5)+1),ROWS(B$3:B62))),"")</f>
        <v/>
      </c>
      <c r="C62" s="40"/>
      <c r="D62" s="19"/>
      <c r="E62" s="39" t="str">
        <f t="array" aca="1" ref="E62" ca="1">IF(ROWS(E$3:E62)&lt;=$F$2,INDEX(INDIRECT(E$2),SMALL(IF(V._M=$K$2,ROW(V._M)-ROW(Clasificacion!$M$5)+1),ROWS(E$3:E62))),"")</f>
        <v/>
      </c>
      <c r="F62" s="40"/>
      <c r="G62" s="19"/>
      <c r="H62" s="39" t="str">
        <f t="array" aca="1" ref="H62" ca="1">IF(ROWS(H$3:H62)&lt;=$I$2,INDEX(INDIRECT(H$2),SMALL(IF(V._FB=$K$2,ROW(V._FB)-ROW(Clasificacion!$N$5)+1),ROWS(H$3:H62))),"")</f>
        <v/>
      </c>
      <c r="I62" s="40"/>
    </row>
    <row r="63" spans="2:9" x14ac:dyDescent="0.25">
      <c r="B63" s="39" t="str">
        <f t="array" aca="1" ref="B63" ca="1">IF(ROWS(B$3:B63)&lt;=$C$2,INDEX(INDIRECT(B$2),SMALL(IF(V._FT=$K$2,ROW(V._FT)-ROW(Clasificacion!$H$5)+1),ROWS(B$3:B63))),"")</f>
        <v/>
      </c>
      <c r="C63" s="40"/>
      <c r="D63" s="19"/>
      <c r="E63" s="39" t="str">
        <f t="array" aca="1" ref="E63" ca="1">IF(ROWS(E$3:E63)&lt;=$F$2,INDEX(INDIRECT(E$2),SMALL(IF(V._M=$K$2,ROW(V._M)-ROW(Clasificacion!$M$5)+1),ROWS(E$3:E63))),"")</f>
        <v/>
      </c>
      <c r="F63" s="40"/>
      <c r="G63" s="19"/>
      <c r="H63" s="39" t="str">
        <f t="array" aca="1" ref="H63" ca="1">IF(ROWS(H$3:H63)&lt;=$I$2,INDEX(INDIRECT(H$2),SMALL(IF(V._FB=$K$2,ROW(V._FB)-ROW(Clasificacion!$N$5)+1),ROWS(H$3:H63))),"")</f>
        <v/>
      </c>
      <c r="I63" s="40"/>
    </row>
    <row r="64" spans="2:9" x14ac:dyDescent="0.25">
      <c r="B64" s="39" t="str">
        <f t="array" aca="1" ref="B64" ca="1">IF(ROWS(B$3:B64)&lt;=$C$2,INDEX(INDIRECT(B$2),SMALL(IF(V._FT=$K$2,ROW(V._FT)-ROW(Clasificacion!$H$5)+1),ROWS(B$3:B64))),"")</f>
        <v/>
      </c>
      <c r="C64" s="40"/>
      <c r="D64" s="19"/>
      <c r="E64" s="39" t="str">
        <f t="array" aca="1" ref="E64" ca="1">IF(ROWS(E$3:E64)&lt;=$F$2,INDEX(INDIRECT(E$2),SMALL(IF(V._M=$K$2,ROW(V._M)-ROW(Clasificacion!$M$5)+1),ROWS(E$3:E64))),"")</f>
        <v/>
      </c>
      <c r="F64" s="40"/>
      <c r="G64" s="19"/>
      <c r="H64" s="39" t="str">
        <f t="array" aca="1" ref="H64" ca="1">IF(ROWS(H$3:H64)&lt;=$I$2,INDEX(INDIRECT(H$2),SMALL(IF(V._FB=$K$2,ROW(V._FB)-ROW(Clasificacion!$N$5)+1),ROWS(H$3:H64))),"")</f>
        <v/>
      </c>
      <c r="I64" s="40"/>
    </row>
    <row r="65" spans="2:9" x14ac:dyDescent="0.25">
      <c r="B65" s="39" t="str">
        <f t="array" aca="1" ref="B65" ca="1">IF(ROWS(B$3:B65)&lt;=$C$2,INDEX(INDIRECT(B$2),SMALL(IF(V._FT=$K$2,ROW(V._FT)-ROW(Clasificacion!$H$5)+1),ROWS(B$3:B65))),"")</f>
        <v/>
      </c>
      <c r="C65" s="40"/>
      <c r="D65" s="19"/>
      <c r="E65" s="39" t="str">
        <f t="array" aca="1" ref="E65" ca="1">IF(ROWS(E$3:E65)&lt;=$F$2,INDEX(INDIRECT(E$2),SMALL(IF(V._M=$K$2,ROW(V._M)-ROW(Clasificacion!$M$5)+1),ROWS(E$3:E65))),"")</f>
        <v/>
      </c>
      <c r="F65" s="40"/>
      <c r="G65" s="19"/>
      <c r="H65" s="39" t="str">
        <f t="array" aca="1" ref="H65" ca="1">IF(ROWS(H$3:H65)&lt;=$I$2,INDEX(INDIRECT(H$2),SMALL(IF(V._FB=$K$2,ROW(V._FB)-ROW(Clasificacion!$N$5)+1),ROWS(H$3:H65))),"")</f>
        <v/>
      </c>
      <c r="I65" s="40"/>
    </row>
    <row r="66" spans="2:9" x14ac:dyDescent="0.25">
      <c r="B66" s="39" t="str">
        <f t="array" aca="1" ref="B66" ca="1">IF(ROWS(B$3:B66)&lt;=$C$2,INDEX(INDIRECT(B$2),SMALL(IF(V._FT=$K$2,ROW(V._FT)-ROW(Clasificacion!$H$5)+1),ROWS(B$3:B66))),"")</f>
        <v/>
      </c>
      <c r="C66" s="40"/>
      <c r="D66" s="19"/>
      <c r="E66" s="39" t="str">
        <f t="array" aca="1" ref="E66" ca="1">IF(ROWS(E$3:E66)&lt;=$F$2,INDEX(INDIRECT(E$2),SMALL(IF(V._M=$K$2,ROW(V._M)-ROW(Clasificacion!$M$5)+1),ROWS(E$3:E66))),"")</f>
        <v/>
      </c>
      <c r="F66" s="40"/>
      <c r="G66" s="19"/>
      <c r="H66" s="39" t="str">
        <f t="array" aca="1" ref="H66" ca="1">IF(ROWS(H$3:H66)&lt;=$I$2,INDEX(INDIRECT(H$2),SMALL(IF(V._FB=$K$2,ROW(V._FB)-ROW(Clasificacion!$N$5)+1),ROWS(H$3:H66))),"")</f>
        <v/>
      </c>
      <c r="I66" s="40"/>
    </row>
    <row r="67" spans="2:9" x14ac:dyDescent="0.25">
      <c r="B67" s="39" t="str">
        <f t="array" aca="1" ref="B67" ca="1">IF(ROWS(B$3:B67)&lt;=$C$2,INDEX(INDIRECT(B$2),SMALL(IF(V._FT=$K$2,ROW(V._FT)-ROW(Clasificacion!$H$5)+1),ROWS(B$3:B67))),"")</f>
        <v/>
      </c>
      <c r="C67" s="40"/>
      <c r="D67" s="19"/>
      <c r="E67" s="39" t="str">
        <f t="array" aca="1" ref="E67" ca="1">IF(ROWS(E$3:E67)&lt;=$F$2,INDEX(INDIRECT(E$2),SMALL(IF(V._M=$K$2,ROW(V._M)-ROW(Clasificacion!$M$5)+1),ROWS(E$3:E67))),"")</f>
        <v/>
      </c>
      <c r="F67" s="40"/>
      <c r="G67" s="19"/>
      <c r="H67" s="39" t="str">
        <f t="array" aca="1" ref="H67" ca="1">IF(ROWS(H$3:H67)&lt;=$I$2,INDEX(INDIRECT(H$2),SMALL(IF(V._FB=$K$2,ROW(V._FB)-ROW(Clasificacion!$N$5)+1),ROWS(H$3:H67))),"")</f>
        <v/>
      </c>
      <c r="I67" s="40"/>
    </row>
    <row r="68" spans="2:9" x14ac:dyDescent="0.25">
      <c r="B68" s="39" t="str">
        <f t="array" aca="1" ref="B68" ca="1">IF(ROWS(B$3:B68)&lt;=$C$2,INDEX(INDIRECT(B$2),SMALL(IF(V._FT=$K$2,ROW(V._FT)-ROW(Clasificacion!$H$5)+1),ROWS(B$3:B68))),"")</f>
        <v/>
      </c>
      <c r="C68" s="40"/>
      <c r="D68" s="19"/>
      <c r="E68" s="39" t="str">
        <f t="array" aca="1" ref="E68" ca="1">IF(ROWS(E$3:E68)&lt;=$F$2,INDEX(INDIRECT(E$2),SMALL(IF(V._M=$K$2,ROW(V._M)-ROW(Clasificacion!$M$5)+1),ROWS(E$3:E68))),"")</f>
        <v/>
      </c>
      <c r="F68" s="40"/>
      <c r="G68" s="19"/>
      <c r="H68" s="39" t="str">
        <f t="array" aca="1" ref="H68" ca="1">IF(ROWS(H$3:H68)&lt;=$I$2,INDEX(INDIRECT(H$2),SMALL(IF(V._FB=$K$2,ROW(V._FB)-ROW(Clasificacion!$N$5)+1),ROWS(H$3:H68))),"")</f>
        <v/>
      </c>
      <c r="I68" s="40"/>
    </row>
    <row r="69" spans="2:9" x14ac:dyDescent="0.25">
      <c r="B69" s="39" t="str">
        <f t="array" aca="1" ref="B69" ca="1">IF(ROWS(B$3:B69)&lt;=$C$2,INDEX(INDIRECT(B$2),SMALL(IF(V._FT=$K$2,ROW(V._FT)-ROW(Clasificacion!$H$5)+1),ROWS(B$3:B69))),"")</f>
        <v/>
      </c>
      <c r="C69" s="40"/>
      <c r="D69" s="19"/>
      <c r="E69" s="39" t="str">
        <f t="array" aca="1" ref="E69" ca="1">IF(ROWS(E$3:E69)&lt;=$F$2,INDEX(INDIRECT(E$2),SMALL(IF(V._M=$K$2,ROW(V._M)-ROW(Clasificacion!$M$5)+1),ROWS(E$3:E69))),"")</f>
        <v/>
      </c>
      <c r="F69" s="40"/>
      <c r="G69" s="19"/>
      <c r="H69" s="39" t="str">
        <f t="array" aca="1" ref="H69" ca="1">IF(ROWS(H$3:H69)&lt;=$I$2,INDEX(INDIRECT(H$2),SMALL(IF(V._FB=$K$2,ROW(V._FB)-ROW(Clasificacion!$N$5)+1),ROWS(H$3:H69))),"")</f>
        <v/>
      </c>
      <c r="I69" s="40"/>
    </row>
    <row r="70" spans="2:9" x14ac:dyDescent="0.25">
      <c r="B70" s="39" t="str">
        <f t="array" aca="1" ref="B70" ca="1">IF(ROWS(B$3:B70)&lt;=$C$2,INDEX(INDIRECT(B$2),SMALL(IF(V._FT=$K$2,ROW(V._FT)-ROW(Clasificacion!$H$5)+1),ROWS(B$3:B70))),"")</f>
        <v/>
      </c>
      <c r="C70" s="40"/>
      <c r="D70" s="19"/>
      <c r="E70" s="39" t="str">
        <f t="array" aca="1" ref="E70" ca="1">IF(ROWS(E$3:E70)&lt;=$F$2,INDEX(INDIRECT(E$2),SMALL(IF(V._M=$K$2,ROW(V._M)-ROW(Clasificacion!$M$5)+1),ROWS(E$3:E70))),"")</f>
        <v/>
      </c>
      <c r="F70" s="40"/>
      <c r="G70" s="19"/>
      <c r="H70" s="39" t="str">
        <f t="array" aca="1" ref="H70" ca="1">IF(ROWS(H$3:H70)&lt;=$I$2,INDEX(INDIRECT(H$2),SMALL(IF(V._FB=$K$2,ROW(V._FB)-ROW(Clasificacion!$N$5)+1),ROWS(H$3:H70))),"")</f>
        <v/>
      </c>
      <c r="I70" s="40"/>
    </row>
    <row r="71" spans="2:9" x14ac:dyDescent="0.25">
      <c r="B71" s="39" t="str">
        <f t="array" aca="1" ref="B71" ca="1">IF(ROWS(B$3:B71)&lt;=$C$2,INDEX(INDIRECT(B$2),SMALL(IF(V._FT=$K$2,ROW(V._FT)-ROW(Clasificacion!$H$5)+1),ROWS(B$3:B71))),"")</f>
        <v/>
      </c>
      <c r="C71" s="40"/>
      <c r="D71" s="19"/>
      <c r="E71" s="39" t="str">
        <f t="array" aca="1" ref="E71" ca="1">IF(ROWS(E$3:E71)&lt;=$F$2,INDEX(INDIRECT(E$2),SMALL(IF(V._M=$K$2,ROW(V._M)-ROW(Clasificacion!$M$5)+1),ROWS(E$3:E71))),"")</f>
        <v/>
      </c>
      <c r="F71" s="40"/>
      <c r="G71" s="19"/>
      <c r="H71" s="39" t="str">
        <f t="array" aca="1" ref="H71" ca="1">IF(ROWS(H$3:H71)&lt;=$I$2,INDEX(INDIRECT(H$2),SMALL(IF(V._FB=$K$2,ROW(V._FB)-ROW(Clasificacion!$N$5)+1),ROWS(H$3:H71))),"")</f>
        <v/>
      </c>
      <c r="I71" s="40"/>
    </row>
    <row r="72" spans="2:9" x14ac:dyDescent="0.25">
      <c r="B72" s="39" t="str">
        <f t="array" aca="1" ref="B72" ca="1">IF(ROWS(B$3:B72)&lt;=$C$2,INDEX(INDIRECT(B$2),SMALL(IF(V._FT=$K$2,ROW(V._FT)-ROW(Clasificacion!$H$5)+1),ROWS(B$3:B72))),"")</f>
        <v/>
      </c>
      <c r="C72" s="40"/>
      <c r="D72" s="19"/>
      <c r="E72" s="39" t="str">
        <f t="array" aca="1" ref="E72" ca="1">IF(ROWS(E$3:E72)&lt;=$F$2,INDEX(INDIRECT(E$2),SMALL(IF(V._M=$K$2,ROW(V._M)-ROW(Clasificacion!$M$5)+1),ROWS(E$3:E72))),"")</f>
        <v/>
      </c>
      <c r="F72" s="40"/>
      <c r="G72" s="19"/>
      <c r="H72" s="39" t="str">
        <f t="array" aca="1" ref="H72" ca="1">IF(ROWS(H$3:H72)&lt;=$I$2,INDEX(INDIRECT(H$2),SMALL(IF(V._FB=$K$2,ROW(V._FB)-ROW(Clasificacion!$N$5)+1),ROWS(H$3:H72))),"")</f>
        <v/>
      </c>
      <c r="I72" s="40"/>
    </row>
    <row r="73" spans="2:9" x14ac:dyDescent="0.25">
      <c r="B73" s="39" t="str">
        <f t="array" aca="1" ref="B73" ca="1">IF(ROWS(B$3:B73)&lt;=$C$2,INDEX(INDIRECT(B$2),SMALL(IF(V._FT=$K$2,ROW(V._FT)-ROW(Clasificacion!$H$5)+1),ROWS(B$3:B73))),"")</f>
        <v/>
      </c>
      <c r="C73" s="40"/>
      <c r="D73" s="19"/>
      <c r="E73" s="39" t="str">
        <f t="array" aca="1" ref="E73" ca="1">IF(ROWS(E$3:E73)&lt;=$F$2,INDEX(INDIRECT(E$2),SMALL(IF(V._M=$K$2,ROW(V._M)-ROW(Clasificacion!$M$5)+1),ROWS(E$3:E73))),"")</f>
        <v/>
      </c>
      <c r="F73" s="40"/>
      <c r="G73" s="19"/>
      <c r="H73" s="39" t="str">
        <f t="array" aca="1" ref="H73" ca="1">IF(ROWS(H$3:H73)&lt;=$I$2,INDEX(INDIRECT(H$2),SMALL(IF(V._FB=$K$2,ROW(V._FB)-ROW(Clasificacion!$N$5)+1),ROWS(H$3:H73))),"")</f>
        <v/>
      </c>
      <c r="I73" s="40"/>
    </row>
    <row r="74" spans="2:9" x14ac:dyDescent="0.25">
      <c r="B74" s="39" t="str">
        <f t="array" aca="1" ref="B74" ca="1">IF(ROWS(B$3:B74)&lt;=$C$2,INDEX(INDIRECT(B$2),SMALL(IF(V._FT=$K$2,ROW(V._FT)-ROW(Clasificacion!$H$5)+1),ROWS(B$3:B74))),"")</f>
        <v/>
      </c>
      <c r="C74" s="40"/>
      <c r="D74" s="19"/>
      <c r="E74" s="39" t="str">
        <f t="array" aca="1" ref="E74" ca="1">IF(ROWS(E$3:E74)&lt;=$F$2,INDEX(INDIRECT(E$2),SMALL(IF(V._M=$K$2,ROW(V._M)-ROW(Clasificacion!$M$5)+1),ROWS(E$3:E74))),"")</f>
        <v/>
      </c>
      <c r="F74" s="40"/>
      <c r="G74" s="19"/>
      <c r="H74" s="39" t="str">
        <f t="array" aca="1" ref="H74" ca="1">IF(ROWS(H$3:H74)&lt;=$I$2,INDEX(INDIRECT(H$2),SMALL(IF(V._FB=$K$2,ROW(V._FB)-ROW(Clasificacion!$N$5)+1),ROWS(H$3:H74))),"")</f>
        <v/>
      </c>
      <c r="I74" s="40"/>
    </row>
    <row r="75" spans="2:9" x14ac:dyDescent="0.25">
      <c r="B75" s="39" t="str">
        <f t="array" aca="1" ref="B75" ca="1">IF(ROWS(B$3:B75)&lt;=$C$2,INDEX(INDIRECT(B$2),SMALL(IF(V._FT=$K$2,ROW(V._FT)-ROW(Clasificacion!$H$5)+1),ROWS(B$3:B75))),"")</f>
        <v/>
      </c>
      <c r="C75" s="40"/>
      <c r="D75" s="19"/>
      <c r="E75" s="39" t="str">
        <f t="array" aca="1" ref="E75" ca="1">IF(ROWS(E$3:E75)&lt;=$F$2,INDEX(INDIRECT(E$2),SMALL(IF(V._M=$K$2,ROW(V._M)-ROW(Clasificacion!$M$5)+1),ROWS(E$3:E75))),"")</f>
        <v/>
      </c>
      <c r="F75" s="40"/>
      <c r="G75" s="19"/>
      <c r="H75" s="39" t="str">
        <f t="array" aca="1" ref="H75" ca="1">IF(ROWS(H$3:H75)&lt;=$I$2,INDEX(INDIRECT(H$2),SMALL(IF(V._FB=$K$2,ROW(V._FB)-ROW(Clasificacion!$N$5)+1),ROWS(H$3:H75))),"")</f>
        <v/>
      </c>
      <c r="I75" s="40"/>
    </row>
    <row r="76" spans="2:9" x14ac:dyDescent="0.25">
      <c r="B76" s="39" t="str">
        <f t="array" aca="1" ref="B76" ca="1">IF(ROWS(B$3:B76)&lt;=$C$2,INDEX(INDIRECT(B$2),SMALL(IF(V._FT=$K$2,ROW(V._FT)-ROW(Clasificacion!$H$5)+1),ROWS(B$3:B76))),"")</f>
        <v/>
      </c>
      <c r="C76" s="40"/>
      <c r="D76" s="19"/>
      <c r="E76" s="39" t="str">
        <f t="array" aca="1" ref="E76" ca="1">IF(ROWS(E$3:E76)&lt;=$F$2,INDEX(INDIRECT(E$2),SMALL(IF(V._M=$K$2,ROW(V._M)-ROW(Clasificacion!$M$5)+1),ROWS(E$3:E76))),"")</f>
        <v/>
      </c>
      <c r="F76" s="40"/>
      <c r="G76" s="19"/>
      <c r="H76" s="39" t="str">
        <f t="array" aca="1" ref="H76" ca="1">IF(ROWS(H$3:H76)&lt;=$I$2,INDEX(INDIRECT(H$2),SMALL(IF(V._FB=$K$2,ROW(V._FB)-ROW(Clasificacion!$N$5)+1),ROWS(H$3:H76))),"")</f>
        <v/>
      </c>
      <c r="I76" s="40"/>
    </row>
    <row r="77" spans="2:9" x14ac:dyDescent="0.25">
      <c r="B77" s="39" t="str">
        <f t="array" aca="1" ref="B77" ca="1">IF(ROWS(B$3:B77)&lt;=$C$2,INDEX(INDIRECT(B$2),SMALL(IF(V._FT=$K$2,ROW(V._FT)-ROW(Clasificacion!$H$5)+1),ROWS(B$3:B77))),"")</f>
        <v/>
      </c>
      <c r="C77" s="40"/>
      <c r="D77" s="19"/>
      <c r="E77" s="39" t="str">
        <f t="array" aca="1" ref="E77" ca="1">IF(ROWS(E$3:E77)&lt;=$F$2,INDEX(INDIRECT(E$2),SMALL(IF(V._M=$K$2,ROW(V._M)-ROW(Clasificacion!$M$5)+1),ROWS(E$3:E77))),"")</f>
        <v/>
      </c>
      <c r="F77" s="40"/>
      <c r="G77" s="19"/>
      <c r="H77" s="39" t="str">
        <f t="array" aca="1" ref="H77" ca="1">IF(ROWS(H$3:H77)&lt;=$I$2,INDEX(INDIRECT(H$2),SMALL(IF(V._FB=$K$2,ROW(V._FB)-ROW(Clasificacion!$N$5)+1),ROWS(H$3:H77))),"")</f>
        <v/>
      </c>
      <c r="I77" s="40"/>
    </row>
    <row r="78" spans="2:9" x14ac:dyDescent="0.25">
      <c r="B78" s="39" t="str">
        <f t="array" aca="1" ref="B78" ca="1">IF(ROWS(B$3:B78)&lt;=$C$2,INDEX(INDIRECT(B$2),SMALL(IF(V._FT=$K$2,ROW(V._FT)-ROW(Clasificacion!$H$5)+1),ROWS(B$3:B78))),"")</f>
        <v/>
      </c>
      <c r="C78" s="40"/>
      <c r="D78" s="19"/>
      <c r="E78" s="39" t="str">
        <f t="array" aca="1" ref="E78" ca="1">IF(ROWS(E$3:E78)&lt;=$F$2,INDEX(INDIRECT(E$2),SMALL(IF(V._M=$K$2,ROW(V._M)-ROW(Clasificacion!$M$5)+1),ROWS(E$3:E78))),"")</f>
        <v/>
      </c>
      <c r="F78" s="40"/>
      <c r="G78" s="19"/>
      <c r="H78" s="39" t="str">
        <f t="array" aca="1" ref="H78" ca="1">IF(ROWS(H$3:H78)&lt;=$I$2,INDEX(INDIRECT(H$2),SMALL(IF(V._FB=$K$2,ROW(V._FB)-ROW(Clasificacion!$N$5)+1),ROWS(H$3:H78))),"")</f>
        <v/>
      </c>
      <c r="I78" s="40"/>
    </row>
    <row r="79" spans="2:9" x14ac:dyDescent="0.25">
      <c r="B79" s="39" t="str">
        <f t="array" aca="1" ref="B79" ca="1">IF(ROWS(B$3:B79)&lt;=$C$2,INDEX(INDIRECT(B$2),SMALL(IF(V._FT=$K$2,ROW(V._FT)-ROW(Clasificacion!$H$5)+1),ROWS(B$3:B79))),"")</f>
        <v/>
      </c>
      <c r="C79" s="40"/>
      <c r="D79" s="19"/>
      <c r="E79" s="39" t="str">
        <f t="array" aca="1" ref="E79" ca="1">IF(ROWS(E$3:E79)&lt;=$F$2,INDEX(INDIRECT(E$2),SMALL(IF(V._M=$K$2,ROW(V._M)-ROW(Clasificacion!$M$5)+1),ROWS(E$3:E79))),"")</f>
        <v/>
      </c>
      <c r="F79" s="40"/>
      <c r="G79" s="19"/>
      <c r="H79" s="39" t="str">
        <f t="array" aca="1" ref="H79" ca="1">IF(ROWS(H$3:H79)&lt;=$I$2,INDEX(INDIRECT(H$2),SMALL(IF(V._FB=$K$2,ROW(V._FB)-ROW(Clasificacion!$N$5)+1),ROWS(H$3:H79))),"")</f>
        <v/>
      </c>
      <c r="I79" s="40"/>
    </row>
    <row r="80" spans="2:9" x14ac:dyDescent="0.25">
      <c r="B80" s="39" t="str">
        <f t="array" aca="1" ref="B80" ca="1">IF(ROWS(B$3:B80)&lt;=$C$2,INDEX(INDIRECT(B$2),SMALL(IF(V._FT=$K$2,ROW(V._FT)-ROW(Clasificacion!$H$5)+1),ROWS(B$3:B80))),"")</f>
        <v/>
      </c>
      <c r="C80" s="40"/>
      <c r="D80" s="19"/>
      <c r="E80" s="39" t="str">
        <f t="array" aca="1" ref="E80" ca="1">IF(ROWS(E$3:E80)&lt;=$F$2,INDEX(INDIRECT(E$2),SMALL(IF(V._M=$K$2,ROW(V._M)-ROW(Clasificacion!$M$5)+1),ROWS(E$3:E80))),"")</f>
        <v/>
      </c>
      <c r="F80" s="40"/>
      <c r="G80" s="19"/>
      <c r="H80" s="39" t="str">
        <f t="array" aca="1" ref="H80" ca="1">IF(ROWS(H$3:H80)&lt;=$I$2,INDEX(INDIRECT(H$2),SMALL(IF(V._FB=$K$2,ROW(V._FB)-ROW(Clasificacion!$N$5)+1),ROWS(H$3:H80))),"")</f>
        <v/>
      </c>
      <c r="I80" s="40"/>
    </row>
    <row r="81" spans="2:9" x14ac:dyDescent="0.25">
      <c r="B81" s="39" t="str">
        <f t="array" aca="1" ref="B81" ca="1">IF(ROWS(B$3:B81)&lt;=$C$2,INDEX(INDIRECT(B$2),SMALL(IF(V._FT=$K$2,ROW(V._FT)-ROW(Clasificacion!$H$5)+1),ROWS(B$3:B81))),"")</f>
        <v/>
      </c>
      <c r="C81" s="40"/>
      <c r="D81" s="19"/>
      <c r="E81" s="39" t="str">
        <f t="array" aca="1" ref="E81" ca="1">IF(ROWS(E$3:E81)&lt;=$F$2,INDEX(INDIRECT(E$2),SMALL(IF(V._M=$K$2,ROW(V._M)-ROW(Clasificacion!$M$5)+1),ROWS(E$3:E81))),"")</f>
        <v/>
      </c>
      <c r="F81" s="40"/>
      <c r="G81" s="19"/>
      <c r="H81" s="39" t="str">
        <f t="array" aca="1" ref="H81" ca="1">IF(ROWS(H$3:H81)&lt;=$I$2,INDEX(INDIRECT(H$2),SMALL(IF(V._FB=$K$2,ROW(V._FB)-ROW(Clasificacion!$N$5)+1),ROWS(H$3:H81))),"")</f>
        <v/>
      </c>
      <c r="I81" s="40"/>
    </row>
    <row r="82" spans="2:9" x14ac:dyDescent="0.25">
      <c r="B82" s="39" t="str">
        <f t="array" aca="1" ref="B82" ca="1">IF(ROWS(B$3:B82)&lt;=$C$2,INDEX(INDIRECT(B$2),SMALL(IF(V._FT=$K$2,ROW(V._FT)-ROW(Clasificacion!$H$5)+1),ROWS(B$3:B82))),"")</f>
        <v/>
      </c>
      <c r="C82" s="40"/>
      <c r="D82" s="19"/>
      <c r="E82" s="39" t="str">
        <f t="array" aca="1" ref="E82" ca="1">IF(ROWS(E$3:E82)&lt;=$F$2,INDEX(INDIRECT(E$2),SMALL(IF(V._M=$K$2,ROW(V._M)-ROW(Clasificacion!$M$5)+1),ROWS(E$3:E82))),"")</f>
        <v/>
      </c>
      <c r="F82" s="40"/>
      <c r="G82" s="19"/>
      <c r="H82" s="39" t="str">
        <f t="array" aca="1" ref="H82" ca="1">IF(ROWS(H$3:H82)&lt;=$I$2,INDEX(INDIRECT(H$2),SMALL(IF(V._FB=$K$2,ROW(V._FB)-ROW(Clasificacion!$N$5)+1),ROWS(H$3:H82))),"")</f>
        <v/>
      </c>
      <c r="I82" s="40"/>
    </row>
    <row r="83" spans="2:9" x14ac:dyDescent="0.25">
      <c r="B83" s="39" t="str">
        <f t="array" aca="1" ref="B83" ca="1">IF(ROWS(B$3:B83)&lt;=$C$2,INDEX(INDIRECT(B$2),SMALL(IF(V._FT=$K$2,ROW(V._FT)-ROW(Clasificacion!$H$5)+1),ROWS(B$3:B83))),"")</f>
        <v/>
      </c>
      <c r="C83" s="40"/>
      <c r="D83" s="19"/>
      <c r="E83" s="39" t="str">
        <f t="array" aca="1" ref="E83" ca="1">IF(ROWS(E$3:E83)&lt;=$F$2,INDEX(INDIRECT(E$2),SMALL(IF(V._M=$K$2,ROW(V._M)-ROW(Clasificacion!$M$5)+1),ROWS(E$3:E83))),"")</f>
        <v/>
      </c>
      <c r="F83" s="40"/>
      <c r="G83" s="19"/>
      <c r="H83" s="39" t="str">
        <f t="array" aca="1" ref="H83" ca="1">IF(ROWS(H$3:H83)&lt;=$I$2,INDEX(INDIRECT(H$2),SMALL(IF(V._FB=$K$2,ROW(V._FB)-ROW(Clasificacion!$N$5)+1),ROWS(H$3:H83))),"")</f>
        <v/>
      </c>
      <c r="I83" s="40"/>
    </row>
    <row r="84" spans="2:9" x14ac:dyDescent="0.25">
      <c r="B84" s="39" t="str">
        <f t="array" aca="1" ref="B84" ca="1">IF(ROWS(B$3:B84)&lt;=$C$2,INDEX(INDIRECT(B$2),SMALL(IF(V._FT=$K$2,ROW(V._FT)-ROW(Clasificacion!$H$5)+1),ROWS(B$3:B84))),"")</f>
        <v/>
      </c>
      <c r="C84" s="40"/>
      <c r="D84" s="19"/>
      <c r="E84" s="39" t="str">
        <f t="array" aca="1" ref="E84" ca="1">IF(ROWS(E$3:E84)&lt;=$F$2,INDEX(INDIRECT(E$2),SMALL(IF(V._M=$K$2,ROW(V._M)-ROW(Clasificacion!$M$5)+1),ROWS(E$3:E84))),"")</f>
        <v/>
      </c>
      <c r="F84" s="40"/>
      <c r="G84" s="19"/>
      <c r="H84" s="39" t="str">
        <f t="array" aca="1" ref="H84" ca="1">IF(ROWS(H$3:H84)&lt;=$I$2,INDEX(INDIRECT(H$2),SMALL(IF(V._FB=$K$2,ROW(V._FB)-ROW(Clasificacion!$N$5)+1),ROWS(H$3:H84))),"")</f>
        <v/>
      </c>
      <c r="I84" s="40"/>
    </row>
    <row r="85" spans="2:9" x14ac:dyDescent="0.25">
      <c r="B85" s="39" t="str">
        <f t="array" aca="1" ref="B85" ca="1">IF(ROWS(B$3:B85)&lt;=$C$2,INDEX(INDIRECT(B$2),SMALL(IF(V._FT=$K$2,ROW(V._FT)-ROW(Clasificacion!$H$5)+1),ROWS(B$3:B85))),"")</f>
        <v/>
      </c>
      <c r="C85" s="40"/>
      <c r="D85" s="19"/>
      <c r="E85" s="39" t="str">
        <f t="array" aca="1" ref="E85" ca="1">IF(ROWS(E$3:E85)&lt;=$F$2,INDEX(INDIRECT(E$2),SMALL(IF(V._M=$K$2,ROW(V._M)-ROW(Clasificacion!$M$5)+1),ROWS(E$3:E85))),"")</f>
        <v/>
      </c>
      <c r="F85" s="40"/>
      <c r="G85" s="19"/>
      <c r="H85" s="39" t="str">
        <f t="array" aca="1" ref="H85" ca="1">IF(ROWS(H$3:H85)&lt;=$I$2,INDEX(INDIRECT(H$2),SMALL(IF(V._FB=$K$2,ROW(V._FB)-ROW(Clasificacion!$N$5)+1),ROWS(H$3:H85))),"")</f>
        <v/>
      </c>
      <c r="I85" s="40"/>
    </row>
    <row r="86" spans="2:9" x14ac:dyDescent="0.25">
      <c r="B86" s="39" t="str">
        <f t="array" aca="1" ref="B86" ca="1">IF(ROWS(B$3:B86)&lt;=$C$2,INDEX(INDIRECT(B$2),SMALL(IF(V._FT=$K$2,ROW(V._FT)-ROW(Clasificacion!$H$5)+1),ROWS(B$3:B86))),"")</f>
        <v/>
      </c>
      <c r="C86" s="40"/>
      <c r="D86" s="19"/>
      <c r="E86" s="39" t="str">
        <f t="array" aca="1" ref="E86" ca="1">IF(ROWS(E$3:E86)&lt;=$F$2,INDEX(INDIRECT(E$2),SMALL(IF(V._M=$K$2,ROW(V._M)-ROW(Clasificacion!$M$5)+1),ROWS(E$3:E86))),"")</f>
        <v/>
      </c>
      <c r="F86" s="40"/>
      <c r="G86" s="19"/>
      <c r="H86" s="39" t="str">
        <f t="array" aca="1" ref="H86" ca="1">IF(ROWS(H$3:H86)&lt;=$I$2,INDEX(INDIRECT(H$2),SMALL(IF(V._FB=$K$2,ROW(V._FB)-ROW(Clasificacion!$N$5)+1),ROWS(H$3:H86))),"")</f>
        <v/>
      </c>
      <c r="I86" s="40"/>
    </row>
    <row r="87" spans="2:9" x14ac:dyDescent="0.25">
      <c r="B87" s="39" t="str">
        <f t="array" aca="1" ref="B87" ca="1">IF(ROWS(B$3:B87)&lt;=$C$2,INDEX(INDIRECT(B$2),SMALL(IF(V._FT=$K$2,ROW(V._FT)-ROW(Clasificacion!$H$5)+1),ROWS(B$3:B87))),"")</f>
        <v/>
      </c>
      <c r="C87" s="40"/>
      <c r="D87" s="19"/>
      <c r="E87" s="39" t="str">
        <f t="array" aca="1" ref="E87" ca="1">IF(ROWS(E$3:E87)&lt;=$F$2,INDEX(INDIRECT(E$2),SMALL(IF(V._M=$K$2,ROW(V._M)-ROW(Clasificacion!$M$5)+1),ROWS(E$3:E87))),"")</f>
        <v/>
      </c>
      <c r="F87" s="40"/>
      <c r="G87" s="19"/>
      <c r="H87" s="39" t="str">
        <f t="array" aca="1" ref="H87" ca="1">IF(ROWS(H$3:H87)&lt;=$I$2,INDEX(INDIRECT(H$2),SMALL(IF(V._FB=$K$2,ROW(V._FB)-ROW(Clasificacion!$N$5)+1),ROWS(H$3:H87))),"")</f>
        <v/>
      </c>
      <c r="I87" s="40"/>
    </row>
    <row r="88" spans="2:9" x14ac:dyDescent="0.25">
      <c r="B88" s="39" t="str">
        <f t="array" aca="1" ref="B88" ca="1">IF(ROWS(B$3:B88)&lt;=$C$2,INDEX(INDIRECT(B$2),SMALL(IF(V._FT=$K$2,ROW(V._FT)-ROW(Clasificacion!$H$5)+1),ROWS(B$3:B88))),"")</f>
        <v/>
      </c>
      <c r="C88" s="40"/>
      <c r="D88" s="19"/>
      <c r="E88" s="39" t="str">
        <f t="array" aca="1" ref="E88" ca="1">IF(ROWS(E$3:E88)&lt;=$F$2,INDEX(INDIRECT(E$2),SMALL(IF(V._M=$K$2,ROW(V._M)-ROW(Clasificacion!$M$5)+1),ROWS(E$3:E88))),"")</f>
        <v/>
      </c>
      <c r="F88" s="40"/>
      <c r="G88" s="19"/>
      <c r="H88" s="39" t="str">
        <f t="array" aca="1" ref="H88" ca="1">IF(ROWS(H$3:H88)&lt;=$I$2,INDEX(INDIRECT(H$2),SMALL(IF(V._FB=$K$2,ROW(V._FB)-ROW(Clasificacion!$N$5)+1),ROWS(H$3:H88))),"")</f>
        <v/>
      </c>
      <c r="I88" s="40"/>
    </row>
    <row r="89" spans="2:9" x14ac:dyDescent="0.25">
      <c r="B89" s="39" t="str">
        <f t="array" aca="1" ref="B89" ca="1">IF(ROWS(B$3:B89)&lt;=$C$2,INDEX(INDIRECT(B$2),SMALL(IF(V._FT=$K$2,ROW(V._FT)-ROW(Clasificacion!$H$5)+1),ROWS(B$3:B89))),"")</f>
        <v/>
      </c>
      <c r="C89" s="40"/>
      <c r="D89" s="19"/>
      <c r="E89" s="39" t="str">
        <f t="array" aca="1" ref="E89" ca="1">IF(ROWS(E$3:E89)&lt;=$F$2,INDEX(INDIRECT(E$2),SMALL(IF(V._M=$K$2,ROW(V._M)-ROW(Clasificacion!$M$5)+1),ROWS(E$3:E89))),"")</f>
        <v/>
      </c>
      <c r="F89" s="40"/>
      <c r="G89" s="19"/>
      <c r="H89" s="39" t="str">
        <f t="array" aca="1" ref="H89" ca="1">IF(ROWS(H$3:H89)&lt;=$I$2,INDEX(INDIRECT(H$2),SMALL(IF(V._FB=$K$2,ROW(V._FB)-ROW(Clasificacion!$N$5)+1),ROWS(H$3:H89))),"")</f>
        <v/>
      </c>
      <c r="I89" s="40"/>
    </row>
    <row r="90" spans="2:9" x14ac:dyDescent="0.25">
      <c r="B90" s="39" t="str">
        <f t="array" aca="1" ref="B90" ca="1">IF(ROWS(B$3:B90)&lt;=$C$2,INDEX(INDIRECT(B$2),SMALL(IF(V._FT=$K$2,ROW(V._FT)-ROW(Clasificacion!$H$5)+1),ROWS(B$3:B90))),"")</f>
        <v/>
      </c>
      <c r="C90" s="40"/>
      <c r="D90" s="19"/>
      <c r="E90" s="39" t="str">
        <f t="array" aca="1" ref="E90" ca="1">IF(ROWS(E$3:E90)&lt;=$F$2,INDEX(INDIRECT(E$2),SMALL(IF(V._M=$K$2,ROW(V._M)-ROW(Clasificacion!$M$5)+1),ROWS(E$3:E90))),"")</f>
        <v/>
      </c>
      <c r="F90" s="40"/>
      <c r="G90" s="19"/>
      <c r="H90" s="39" t="str">
        <f t="array" aca="1" ref="H90" ca="1">IF(ROWS(H$3:H90)&lt;=$I$2,INDEX(INDIRECT(H$2),SMALL(IF(V._FB=$K$2,ROW(V._FB)-ROW(Clasificacion!$N$5)+1),ROWS(H$3:H90))),"")</f>
        <v/>
      </c>
      <c r="I90" s="40"/>
    </row>
    <row r="91" spans="2:9" x14ac:dyDescent="0.25">
      <c r="B91" s="39" t="str">
        <f t="array" aca="1" ref="B91" ca="1">IF(ROWS(B$3:B91)&lt;=$C$2,INDEX(INDIRECT(B$2),SMALL(IF(V._FT=$K$2,ROW(V._FT)-ROW(Clasificacion!$H$5)+1),ROWS(B$3:B91))),"")</f>
        <v/>
      </c>
      <c r="C91" s="40"/>
      <c r="D91" s="19"/>
      <c r="E91" s="39" t="str">
        <f t="array" aca="1" ref="E91" ca="1">IF(ROWS(E$3:E91)&lt;=$F$2,INDEX(INDIRECT(E$2),SMALL(IF(V._M=$K$2,ROW(V._M)-ROW(Clasificacion!$M$5)+1),ROWS(E$3:E91))),"")</f>
        <v/>
      </c>
      <c r="F91" s="40"/>
      <c r="G91" s="19"/>
      <c r="H91" s="39" t="str">
        <f t="array" aca="1" ref="H91" ca="1">IF(ROWS(H$3:H91)&lt;=$I$2,INDEX(INDIRECT(H$2),SMALL(IF(V._FB=$K$2,ROW(V._FB)-ROW(Clasificacion!$N$5)+1),ROWS(H$3:H91))),"")</f>
        <v/>
      </c>
      <c r="I91" s="40"/>
    </row>
    <row r="92" spans="2:9" x14ac:dyDescent="0.25">
      <c r="B92" s="39" t="str">
        <f t="array" aca="1" ref="B92" ca="1">IF(ROWS(B$3:B92)&lt;=$C$2,INDEX(INDIRECT(B$2),SMALL(IF(V._FT=$K$2,ROW(V._FT)-ROW(Clasificacion!$H$5)+1),ROWS(B$3:B92))),"")</f>
        <v/>
      </c>
      <c r="C92" s="40"/>
      <c r="D92" s="19"/>
      <c r="E92" s="39" t="str">
        <f t="array" aca="1" ref="E92" ca="1">IF(ROWS(E$3:E92)&lt;=$F$2,INDEX(INDIRECT(E$2),SMALL(IF(V._M=$K$2,ROW(V._M)-ROW(Clasificacion!$M$5)+1),ROWS(E$3:E92))),"")</f>
        <v/>
      </c>
      <c r="F92" s="40"/>
      <c r="G92" s="19"/>
      <c r="H92" s="39" t="str">
        <f t="array" aca="1" ref="H92" ca="1">IF(ROWS(H$3:H92)&lt;=$I$2,INDEX(INDIRECT(H$2),SMALL(IF(V._FB=$K$2,ROW(V._FB)-ROW(Clasificacion!$N$5)+1),ROWS(H$3:H92))),"")</f>
        <v/>
      </c>
      <c r="I92" s="40"/>
    </row>
    <row r="93" spans="2:9" x14ac:dyDescent="0.25">
      <c r="B93" s="39" t="str">
        <f t="array" aca="1" ref="B93" ca="1">IF(ROWS(B$3:B93)&lt;=$C$2,INDEX(INDIRECT(B$2),SMALL(IF(V._FT=$K$2,ROW(V._FT)-ROW(Clasificacion!$H$5)+1),ROWS(B$3:B93))),"")</f>
        <v/>
      </c>
      <c r="C93" s="40"/>
      <c r="D93" s="19"/>
      <c r="E93" s="39" t="str">
        <f t="array" aca="1" ref="E93" ca="1">IF(ROWS(E$3:E93)&lt;=$F$2,INDEX(INDIRECT(E$2),SMALL(IF(V._M=$K$2,ROW(V._M)-ROW(Clasificacion!$M$5)+1),ROWS(E$3:E93))),"")</f>
        <v/>
      </c>
      <c r="F93" s="40"/>
      <c r="G93" s="19"/>
      <c r="H93" s="39" t="str">
        <f t="array" aca="1" ref="H93" ca="1">IF(ROWS(H$3:H93)&lt;=$I$2,INDEX(INDIRECT(H$2),SMALL(IF(V._FB=$K$2,ROW(V._FB)-ROW(Clasificacion!$N$5)+1),ROWS(H$3:H93))),"")</f>
        <v/>
      </c>
      <c r="I93" s="40"/>
    </row>
    <row r="94" spans="2:9" x14ac:dyDescent="0.25">
      <c r="B94" s="39" t="str">
        <f t="array" aca="1" ref="B94" ca="1">IF(ROWS(B$3:B94)&lt;=$C$2,INDEX(INDIRECT(B$2),SMALL(IF(V._FT=$K$2,ROW(V._FT)-ROW(Clasificacion!$H$5)+1),ROWS(B$3:B94))),"")</f>
        <v/>
      </c>
      <c r="C94" s="40"/>
      <c r="D94" s="19"/>
      <c r="E94" s="39" t="str">
        <f t="array" aca="1" ref="E94" ca="1">IF(ROWS(E$3:E94)&lt;=$F$2,INDEX(INDIRECT(E$2),SMALL(IF(V._M=$K$2,ROW(V._M)-ROW(Clasificacion!$M$5)+1),ROWS(E$3:E94))),"")</f>
        <v/>
      </c>
      <c r="F94" s="40"/>
      <c r="G94" s="19"/>
      <c r="H94" s="39" t="str">
        <f t="array" aca="1" ref="H94" ca="1">IF(ROWS(H$3:H94)&lt;=$I$2,INDEX(INDIRECT(H$2),SMALL(IF(V._FB=$K$2,ROW(V._FB)-ROW(Clasificacion!$N$5)+1),ROWS(H$3:H94))),"")</f>
        <v/>
      </c>
      <c r="I94" s="40"/>
    </row>
    <row r="95" spans="2:9" x14ac:dyDescent="0.25">
      <c r="B95" s="39" t="str">
        <f t="array" aca="1" ref="B95" ca="1">IF(ROWS(B$3:B95)&lt;=$C$2,INDEX(INDIRECT(B$2),SMALL(IF(V._FT=$K$2,ROW(V._FT)-ROW(Clasificacion!$H$5)+1),ROWS(B$3:B95))),"")</f>
        <v/>
      </c>
      <c r="C95" s="40"/>
      <c r="D95" s="19"/>
      <c r="E95" s="39" t="str">
        <f t="array" aca="1" ref="E95" ca="1">IF(ROWS(E$3:E95)&lt;=$F$2,INDEX(INDIRECT(E$2),SMALL(IF(V._M=$K$2,ROW(V._M)-ROW(Clasificacion!$M$5)+1),ROWS(E$3:E95))),"")</f>
        <v/>
      </c>
      <c r="F95" s="40"/>
      <c r="G95" s="19"/>
      <c r="H95" s="39" t="str">
        <f t="array" aca="1" ref="H95" ca="1">IF(ROWS(H$3:H95)&lt;=$I$2,INDEX(INDIRECT(H$2),SMALL(IF(V._FB=$K$2,ROW(V._FB)-ROW(Clasificacion!$N$5)+1),ROWS(H$3:H95))),"")</f>
        <v/>
      </c>
      <c r="I95" s="40"/>
    </row>
    <row r="96" spans="2:9" x14ac:dyDescent="0.25">
      <c r="B96" s="39" t="str">
        <f t="array" aca="1" ref="B96" ca="1">IF(ROWS(B$3:B96)&lt;=$C$2,INDEX(INDIRECT(B$2),SMALL(IF(V._FT=$K$2,ROW(V._FT)-ROW(Clasificacion!$H$5)+1),ROWS(B$3:B96))),"")</f>
        <v/>
      </c>
      <c r="C96" s="40"/>
      <c r="D96" s="19"/>
      <c r="E96" s="39" t="str">
        <f t="array" aca="1" ref="E96" ca="1">IF(ROWS(E$3:E96)&lt;=$F$2,INDEX(INDIRECT(E$2),SMALL(IF(V._M=$K$2,ROW(V._M)-ROW(Clasificacion!$M$5)+1),ROWS(E$3:E96))),"")</f>
        <v/>
      </c>
      <c r="F96" s="40"/>
      <c r="G96" s="19"/>
      <c r="H96" s="39" t="str">
        <f t="array" aca="1" ref="H96" ca="1">IF(ROWS(H$3:H96)&lt;=$I$2,INDEX(INDIRECT(H$2),SMALL(IF(V._FB=$K$2,ROW(V._FB)-ROW(Clasificacion!$N$5)+1),ROWS(H$3:H96))),"")</f>
        <v/>
      </c>
      <c r="I96" s="40"/>
    </row>
    <row r="97" spans="2:9" x14ac:dyDescent="0.25">
      <c r="B97" s="39" t="str">
        <f t="array" aca="1" ref="B97" ca="1">IF(ROWS(B$3:B97)&lt;=$C$2,INDEX(INDIRECT(B$2),SMALL(IF(V._FT=$K$2,ROW(V._FT)-ROW(Clasificacion!$H$5)+1),ROWS(B$3:B97))),"")</f>
        <v/>
      </c>
      <c r="C97" s="40"/>
      <c r="D97" s="19"/>
      <c r="E97" s="39" t="str">
        <f t="array" aca="1" ref="E97" ca="1">IF(ROWS(E$3:E97)&lt;=$F$2,INDEX(INDIRECT(E$2),SMALL(IF(V._M=$K$2,ROW(V._M)-ROW(Clasificacion!$M$5)+1),ROWS(E$3:E97))),"")</f>
        <v/>
      </c>
      <c r="F97" s="40"/>
      <c r="G97" s="19"/>
      <c r="H97" s="39" t="str">
        <f t="array" aca="1" ref="H97" ca="1">IF(ROWS(H$3:H97)&lt;=$I$2,INDEX(INDIRECT(H$2),SMALL(IF(V._FB=$K$2,ROW(V._FB)-ROW(Clasificacion!$N$5)+1),ROWS(H$3:H97))),"")</f>
        <v/>
      </c>
      <c r="I97" s="40"/>
    </row>
    <row r="98" spans="2:9" x14ac:dyDescent="0.25">
      <c r="B98" s="39" t="str">
        <f t="array" aca="1" ref="B98" ca="1">IF(ROWS(B$3:B98)&lt;=$C$2,INDEX(INDIRECT(B$2),SMALL(IF(V._FT=$K$2,ROW(V._FT)-ROW(Clasificacion!$H$5)+1),ROWS(B$3:B98))),"")</f>
        <v/>
      </c>
      <c r="C98" s="40"/>
      <c r="D98" s="19"/>
      <c r="E98" s="39" t="str">
        <f t="array" aca="1" ref="E98" ca="1">IF(ROWS(E$3:E98)&lt;=$F$2,INDEX(INDIRECT(E$2),SMALL(IF(V._M=$K$2,ROW(V._M)-ROW(Clasificacion!$M$5)+1),ROWS(E$3:E98))),"")</f>
        <v/>
      </c>
      <c r="F98" s="40"/>
      <c r="G98" s="19"/>
      <c r="H98" s="39" t="str">
        <f t="array" aca="1" ref="H98" ca="1">IF(ROWS(H$3:H98)&lt;=$I$2,INDEX(INDIRECT(H$2),SMALL(IF(V._FB=$K$2,ROW(V._FB)-ROW(Clasificacion!$N$5)+1),ROWS(H$3:H98))),"")</f>
        <v/>
      </c>
      <c r="I98" s="40"/>
    </row>
    <row r="99" spans="2:9" x14ac:dyDescent="0.25">
      <c r="B99" s="39" t="str">
        <f t="array" aca="1" ref="B99" ca="1">IF(ROWS(B$3:B99)&lt;=$C$2,INDEX(INDIRECT(B$2),SMALL(IF(V._FT=$K$2,ROW(V._FT)-ROW(Clasificacion!$H$5)+1),ROWS(B$3:B99))),"")</f>
        <v/>
      </c>
      <c r="C99" s="40"/>
      <c r="D99" s="19"/>
      <c r="E99" s="39" t="str">
        <f t="array" aca="1" ref="E99" ca="1">IF(ROWS(E$3:E99)&lt;=$F$2,INDEX(INDIRECT(E$2),SMALL(IF(V._M=$K$2,ROW(V._M)-ROW(Clasificacion!$M$5)+1),ROWS(E$3:E99))),"")</f>
        <v/>
      </c>
      <c r="F99" s="40"/>
      <c r="G99" s="19"/>
      <c r="H99" s="39" t="str">
        <f t="array" aca="1" ref="H99" ca="1">IF(ROWS(H$3:H99)&lt;=$I$2,INDEX(INDIRECT(H$2),SMALL(IF(V._FB=$K$2,ROW(V._FB)-ROW(Clasificacion!$N$5)+1),ROWS(H$3:H99))),"")</f>
        <v/>
      </c>
      <c r="I99" s="40"/>
    </row>
    <row r="100" spans="2:9" x14ac:dyDescent="0.25">
      <c r="B100" s="39" t="str">
        <f t="array" aca="1" ref="B100" ca="1">IF(ROWS(B$3:B100)&lt;=$C$2,INDEX(INDIRECT(B$2),SMALL(IF(V._FT=$K$2,ROW(V._FT)-ROW(Clasificacion!$H$5)+1),ROWS(B$3:B100))),"")</f>
        <v/>
      </c>
      <c r="C100" s="40"/>
      <c r="D100" s="19"/>
      <c r="E100" s="39" t="str">
        <f t="array" aca="1" ref="E100" ca="1">IF(ROWS(E$3:E100)&lt;=$F$2,INDEX(INDIRECT(E$2),SMALL(IF(V._M=$K$2,ROW(V._M)-ROW(Clasificacion!$M$5)+1),ROWS(E$3:E100))),"")</f>
        <v/>
      </c>
      <c r="F100" s="40"/>
      <c r="G100" s="19"/>
      <c r="H100" s="39" t="str">
        <f t="array" aca="1" ref="H100" ca="1">IF(ROWS(H$3:H100)&lt;=$I$2,INDEX(INDIRECT(H$2),SMALL(IF(V._FB=$K$2,ROW(V._FB)-ROW(Clasificacion!$N$5)+1),ROWS(H$3:H100))),"")</f>
        <v/>
      </c>
      <c r="I100" s="40"/>
    </row>
    <row r="101" spans="2:9" x14ac:dyDescent="0.25">
      <c r="B101" s="39" t="str">
        <f t="array" aca="1" ref="B101" ca="1">IF(ROWS(B$3:B101)&lt;=$C$2,INDEX(INDIRECT(B$2),SMALL(IF(V._FT=$K$2,ROW(V._FT)-ROW(Clasificacion!$H$5)+1),ROWS(B$3:B101))),"")</f>
        <v/>
      </c>
      <c r="C101" s="40"/>
      <c r="D101" s="19"/>
      <c r="E101" s="39" t="str">
        <f t="array" aca="1" ref="E101" ca="1">IF(ROWS(E$3:E101)&lt;=$F$2,INDEX(INDIRECT(E$2),SMALL(IF(V._M=$K$2,ROW(V._M)-ROW(Clasificacion!$M$5)+1),ROWS(E$3:E101))),"")</f>
        <v/>
      </c>
      <c r="F101" s="40"/>
      <c r="G101" s="19"/>
      <c r="H101" s="39" t="str">
        <f t="array" aca="1" ref="H101" ca="1">IF(ROWS(H$3:H101)&lt;=$I$2,INDEX(INDIRECT(H$2),SMALL(IF(V._FB=$K$2,ROW(V._FB)-ROW(Clasificacion!$N$5)+1),ROWS(H$3:H101))),"")</f>
        <v/>
      </c>
      <c r="I101" s="40"/>
    </row>
    <row r="102" spans="2:9" x14ac:dyDescent="0.25">
      <c r="B102" s="39" t="str">
        <f t="array" aca="1" ref="B102" ca="1">IF(ROWS(B$3:B102)&lt;=$C$2,INDEX(INDIRECT(B$2),SMALL(IF(V._FT=$K$2,ROW(V._FT)-ROW(Clasificacion!$H$5)+1),ROWS(B$3:B102))),"")</f>
        <v/>
      </c>
      <c r="C102" s="40"/>
      <c r="D102" s="19"/>
      <c r="E102" s="39" t="str">
        <f t="array" aca="1" ref="E102" ca="1">IF(ROWS(E$3:E102)&lt;=$F$2,INDEX(INDIRECT(E$2),SMALL(IF(V._M=$K$2,ROW(V._M)-ROW(Clasificacion!$M$5)+1),ROWS(E$3:E102))),"")</f>
        <v/>
      </c>
      <c r="F102" s="40"/>
      <c r="G102" s="19"/>
      <c r="H102" s="39" t="str">
        <f t="array" aca="1" ref="H102" ca="1">IF(ROWS(H$3:H102)&lt;=$I$2,INDEX(INDIRECT(H$2),SMALL(IF(V._FB=$K$2,ROW(V._FB)-ROW(Clasificacion!$N$5)+1),ROWS(H$3:H102))),"")</f>
        <v/>
      </c>
      <c r="I102" s="40"/>
    </row>
    <row r="103" spans="2:9" x14ac:dyDescent="0.25">
      <c r="B103" s="39" t="str">
        <f t="array" aca="1" ref="B103" ca="1">IF(ROWS(B$3:B103)&lt;=$C$2,INDEX(INDIRECT(B$2),SMALL(IF(V._FT=$K$2,ROW(V._FT)-ROW(Clasificacion!$H$5)+1),ROWS(B$3:B103))),"")</f>
        <v/>
      </c>
      <c r="C103" s="40"/>
      <c r="D103" s="19"/>
      <c r="E103" s="39" t="str">
        <f t="array" aca="1" ref="E103" ca="1">IF(ROWS(E$3:E103)&lt;=$F$2,INDEX(INDIRECT(E$2),SMALL(IF(V._M=$K$2,ROW(V._M)-ROW(Clasificacion!$M$5)+1),ROWS(E$3:E103))),"")</f>
        <v/>
      </c>
      <c r="F103" s="40"/>
      <c r="G103" s="19"/>
      <c r="H103" s="39" t="str">
        <f t="array" aca="1" ref="H103" ca="1">IF(ROWS(H$3:H103)&lt;=$I$2,INDEX(INDIRECT(H$2),SMALL(IF(V._FB=$K$2,ROW(V._FB)-ROW(Clasificacion!$N$5)+1),ROWS(H$3:H103))),"")</f>
        <v/>
      </c>
      <c r="I103" s="40"/>
    </row>
    <row r="104" spans="2:9" x14ac:dyDescent="0.25">
      <c r="B104" s="39" t="str">
        <f t="array" aca="1" ref="B104" ca="1">IF(ROWS(B$3:B104)&lt;=$C$2,INDEX(INDIRECT(B$2),SMALL(IF(V._FT=$K$2,ROW(V._FT)-ROW(Clasificacion!$H$5)+1),ROWS(B$3:B104))),"")</f>
        <v/>
      </c>
      <c r="C104" s="40"/>
      <c r="D104" s="19"/>
      <c r="E104" s="39" t="str">
        <f t="array" aca="1" ref="E104" ca="1">IF(ROWS(E$3:E104)&lt;=$F$2,INDEX(INDIRECT(E$2),SMALL(IF(V._M=$K$2,ROW(V._M)-ROW(Clasificacion!$M$5)+1),ROWS(E$3:E104))),"")</f>
        <v/>
      </c>
      <c r="F104" s="40"/>
      <c r="G104" s="19"/>
      <c r="H104" s="39" t="str">
        <f t="array" aca="1" ref="H104" ca="1">IF(ROWS(H$3:H104)&lt;=$I$2,INDEX(INDIRECT(H$2),SMALL(IF(V._FB=$K$2,ROW(V._FB)-ROW(Clasificacion!$N$5)+1),ROWS(H$3:H104))),"")</f>
        <v/>
      </c>
      <c r="I104" s="40"/>
    </row>
    <row r="105" spans="2:9" ht="15.75" thickBot="1" x14ac:dyDescent="0.3">
      <c r="B105" s="41" t="str">
        <f t="array" aca="1" ref="B105" ca="1">IF(ROWS(B$3:B105)&lt;=$C$2,INDEX(INDIRECT(B$2),SMALL(IF(V._FT=$K$2,ROW(V._FT)-ROW(Clasificacion!$H$5)+1),ROWS(B$3:B105))),"")</f>
        <v/>
      </c>
      <c r="C105" s="42"/>
      <c r="D105" s="19"/>
      <c r="E105" s="41" t="str">
        <f t="array" aca="1" ref="E105" ca="1">IF(ROWS(E$3:E105)&lt;=$F$2,INDEX(INDIRECT(E$2),SMALL(IF(V._M=$K$2,ROW(V._M)-ROW(Clasificacion!$M$5)+1),ROWS(E$3:E105))),"")</f>
        <v/>
      </c>
      <c r="F105" s="42"/>
      <c r="G105" s="19"/>
      <c r="H105" s="41" t="str">
        <f t="array" aca="1" ref="H105" ca="1">IF(ROWS(H$3:H105)&lt;=$I$2,INDEX(INDIRECT(H$2),SMALL(IF(V._FB=$K$2,ROW(V._FB)-ROW(Clasificacion!$N$5)+1),ROWS(H$3:H105))),"")</f>
        <v/>
      </c>
      <c r="I105" s="42"/>
    </row>
    <row r="106" spans="2:9" ht="12.6" customHeight="1" x14ac:dyDescent="0.25"/>
  </sheetData>
  <mergeCells count="2">
    <mergeCell ref="E1:F1"/>
    <mergeCell ref="B1:C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M12"/>
  <sheetViews>
    <sheetView showGridLines="0" tabSelected="1" zoomScale="80" zoomScaleNormal="80" workbookViewId="0"/>
  </sheetViews>
  <sheetFormatPr baseColWidth="10" defaultColWidth="0" defaultRowHeight="15" zeroHeight="1" x14ac:dyDescent="0.25"/>
  <cols>
    <col min="1" max="1" width="3.5703125" customWidth="1"/>
    <col min="2" max="2" width="19.5703125" customWidth="1"/>
    <col min="3" max="3" width="44.5703125" customWidth="1"/>
    <col min="4" max="4" width="57.5703125" customWidth="1"/>
    <col min="5" max="5" width="31.5703125" customWidth="1"/>
    <col min="6" max="6" width="4" customWidth="1"/>
    <col min="7" max="9" width="10.85546875" hidden="1" customWidth="1"/>
    <col min="10" max="10" width="19.5703125" hidden="1" customWidth="1"/>
    <col min="11" max="11" width="44.5703125" hidden="1" customWidth="1"/>
    <col min="12" max="12" width="57.5703125" hidden="1" customWidth="1"/>
    <col min="13" max="13" width="31.5703125" hidden="1" customWidth="1"/>
    <col min="14" max="16384" width="10.85546875" hidden="1"/>
  </cols>
  <sheetData>
    <row r="1" spans="2:13" ht="36" customHeight="1" x14ac:dyDescent="0.25">
      <c r="B1" s="124" t="s">
        <v>167</v>
      </c>
      <c r="C1" s="124"/>
      <c r="D1" s="124"/>
      <c r="E1" s="124"/>
    </row>
    <row r="2" spans="2:13" x14ac:dyDescent="0.25"/>
    <row r="3" spans="2:13" x14ac:dyDescent="0.25">
      <c r="C3" s="29" t="s">
        <v>165</v>
      </c>
      <c r="D3" s="30" t="s">
        <v>166</v>
      </c>
      <c r="E3" s="66" t="s">
        <v>168</v>
      </c>
      <c r="J3" s="29" t="s">
        <v>64</v>
      </c>
      <c r="K3" s="29" t="s">
        <v>165</v>
      </c>
      <c r="L3" s="30" t="s">
        <v>169</v>
      </c>
      <c r="M3" s="30" t="s">
        <v>170</v>
      </c>
    </row>
    <row r="4" spans="2:13" ht="220.5" x14ac:dyDescent="0.25">
      <c r="B4" s="43" t="s">
        <v>182</v>
      </c>
      <c r="C4" s="85" t="s">
        <v>185</v>
      </c>
      <c r="D4" s="85" t="s">
        <v>184</v>
      </c>
      <c r="E4" s="67" t="s">
        <v>183</v>
      </c>
      <c r="J4" s="86"/>
      <c r="K4" s="87"/>
      <c r="L4" s="88"/>
      <c r="M4" s="89"/>
    </row>
    <row r="5" spans="2:13" ht="220.5" x14ac:dyDescent="0.25">
      <c r="B5" s="43" t="s">
        <v>191</v>
      </c>
      <c r="C5" s="85" t="s">
        <v>192</v>
      </c>
      <c r="D5" s="85" t="s">
        <v>193</v>
      </c>
      <c r="E5" s="67" t="s">
        <v>194</v>
      </c>
      <c r="J5" s="86"/>
      <c r="K5" s="87"/>
      <c r="L5" s="88"/>
      <c r="M5" s="89"/>
    </row>
    <row r="6" spans="2:13" ht="236.25" x14ac:dyDescent="0.25">
      <c r="B6" s="43" t="s">
        <v>188</v>
      </c>
      <c r="C6" s="85" t="s">
        <v>192</v>
      </c>
      <c r="D6" s="85" t="s">
        <v>195</v>
      </c>
      <c r="E6" s="67" t="s">
        <v>196</v>
      </c>
      <c r="J6" s="86"/>
      <c r="K6" s="87"/>
      <c r="L6" s="88"/>
      <c r="M6" s="89"/>
    </row>
    <row r="7" spans="2:13" ht="236.25" x14ac:dyDescent="0.25">
      <c r="B7" s="43" t="s">
        <v>197</v>
      </c>
      <c r="C7" s="85" t="s">
        <v>192</v>
      </c>
      <c r="D7" s="85" t="s">
        <v>199</v>
      </c>
      <c r="E7" s="67" t="s">
        <v>198</v>
      </c>
      <c r="J7" s="86"/>
      <c r="K7" s="87"/>
      <c r="L7" s="88"/>
      <c r="M7" s="89"/>
    </row>
    <row r="8" spans="2:13" ht="357.95" hidden="1" customHeight="1" thickBot="1" x14ac:dyDescent="0.3">
      <c r="J8" s="31" t="s">
        <v>60</v>
      </c>
      <c r="K8" s="75" t="s">
        <v>181</v>
      </c>
      <c r="L8" s="79" t="s">
        <v>174</v>
      </c>
      <c r="M8" s="33" t="s">
        <v>175</v>
      </c>
    </row>
    <row r="9" spans="2:13" ht="409.5" hidden="1" customHeight="1" thickBot="1" x14ac:dyDescent="0.3">
      <c r="J9" s="34" t="s">
        <v>61</v>
      </c>
      <c r="K9" s="76" t="s">
        <v>171</v>
      </c>
      <c r="L9" s="80" t="s">
        <v>176</v>
      </c>
      <c r="M9" s="32" t="s">
        <v>177</v>
      </c>
    </row>
    <row r="10" spans="2:13" ht="409.6" hidden="1" thickBot="1" x14ac:dyDescent="0.3">
      <c r="J10" s="35" t="s">
        <v>62</v>
      </c>
      <c r="K10" s="78" t="s">
        <v>172</v>
      </c>
      <c r="L10" s="81" t="s">
        <v>179</v>
      </c>
      <c r="M10" s="32" t="s">
        <v>178</v>
      </c>
    </row>
    <row r="11" spans="2:13" ht="409.6" hidden="1" thickBot="1" x14ac:dyDescent="0.3">
      <c r="J11" s="34" t="s">
        <v>63</v>
      </c>
      <c r="K11" s="76" t="s">
        <v>173</v>
      </c>
      <c r="L11" s="82" t="s">
        <v>180</v>
      </c>
      <c r="M11" s="36"/>
    </row>
    <row r="12" spans="2:13" x14ac:dyDescent="0.25"/>
  </sheetData>
  <mergeCells count="1">
    <mergeCell ref="B1:E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COMENTARIOS SOBRE LA MATRIZ</vt:lpstr>
      <vt:lpstr>Instrucciones</vt:lpstr>
      <vt:lpstr>1. Etapa</vt:lpstr>
      <vt:lpstr> Resultado Etapa</vt:lpstr>
      <vt:lpstr>2. Competencias</vt:lpstr>
      <vt:lpstr>Clasificacion</vt:lpstr>
      <vt:lpstr>Lista de Competencias</vt:lpstr>
      <vt:lpstr>Plan de accion</vt:lpstr>
      <vt:lpstr>COMPETENCES_FAIBLES</vt:lpstr>
      <vt:lpstr>COMPETENCES_FORTES</vt:lpstr>
      <vt:lpstr>COMPETENCES_MOYENNES</vt:lpstr>
      <vt:lpstr>V._F</vt:lpstr>
      <vt:lpstr>V._FB</vt:lpstr>
      <vt:lpstr>V._FT</vt:lpstr>
      <vt:lpstr>V._M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Yenny Lozano - École des entrepreneurs du Québec</dc:creator>
  <cp:lastModifiedBy>Administrador</cp:lastModifiedBy>
  <cp:lastPrinted>2019-09-19T02:56:37Z</cp:lastPrinted>
  <dcterms:created xsi:type="dcterms:W3CDTF">2019-08-23T17:22:46Z</dcterms:created>
  <dcterms:modified xsi:type="dcterms:W3CDTF">2020-11-11T21:19:38Z</dcterms:modified>
</cp:coreProperties>
</file>